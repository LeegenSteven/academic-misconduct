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19d392d6e84f19" /></Relationships>
</file>

<file path=xl/workbook.xml><?xml version="1.0" encoding="utf-8"?>
<x:workbook xmlns:x="http://schemas.openxmlformats.org/spreadsheetml/2006/main">
  <x:sheets>
    <x:sheet xmlns:r="http://schemas.openxmlformats.org/officeDocument/2006/relationships" name="Protocol" sheetId="1" r:id="Re94f194a0fe14123"/>
    <x:sheet xmlns:r="http://schemas.openxmlformats.org/officeDocument/2006/relationships" name="Blind_Annotation" sheetId="2" r:id="Re24ee4d5ddec4c9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000000"/>
      <x:name val="Aptos"/>
    </x:font>
    <x:font>
      <x:b/>
      <x:sz val="10"/>
      <x:color rgb="FF1F2937"/>
      <x:name val="Aptos"/>
    </x:font>
    <x:font>
      <x:sz val="10"/>
      <x:color rgb="FF1F2937"/>
      <x:name val="Aptos"/>
    </x:font>
    <x:font>
      <x:i/>
      <x:sz val="10"/>
      <x:color rgb="FF4B5563"/>
      <x:name val="Aptos"/>
    </x:font>
    <x:font>
      <x:b/>
      <x:sz val="9"/>
      <x:color rgb="FFFFFFFF"/>
      <x:name val="Aptos"/>
    </x:font>
    <x:font>
      <x:sz val="9"/>
      <x:color rgb="FF1F2937"/>
      <x:name val="Aptos"/>
    </x:font>
  </x:fonts>
  <x:fills count="7">
    <x:fill>
      <x:patternFill patternType="none"/>
    </x:fill>
    <x:fill>
      <x:patternFill patternType="gray125"/>
    </x:fill>
    <x:fill>
      <x:patternFill patternType="solid">
        <x:fgColor rgb="FFEAF2F8"/>
      </x:patternFill>
    </x:fill>
    <x:fill>
      <x:patternFill patternType="solid">
        <x:fgColor rgb="FFF7F7F7"/>
      </x:patternFill>
    </x:fill>
    <x:fill>
      <x:patternFill patternType="solid">
        <x:fgColor rgb="FF1F4E78"/>
      </x:patternFill>
    </x:fill>
    <x:fill>
      <x:patternFill patternType="solid">
        <x:fgColor rgb="FFFFF2CC"/>
      </x:patternFill>
    </x:fill>
    <x:fill>
      <x:patternFill patternType="solid">
        <x:fgColor rgb="FFF2F2F2"/>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31">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2" borderId="1" xfId="0" applyNumberFormat="1" applyFont="1" applyFill="1" applyBorder="1"/>
    <x:xf numFmtId="0" fontId="3"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0" fontId="2" fillId="3" borderId="1"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5" fillId="4" borderId="1" xfId="0" applyNumberFormat="1" applyFont="1" applyFill="1" applyBorder="1" applyAlignment="1">
      <x:alignment horizontal="center" vertical="center" wrapText="1"/>
    </x:xf>
    <x:xf numFmtId="0" fontId="6" fillId="0"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2" borderId="1" xfId="0" applyNumberFormat="1" applyFont="1" applyFill="1" applyBorder="1" applyAlignment="1">
      <x:alignment vertical="top" wrapText="1"/>
    </x:xf>
  </x:cellXfs>
  <x:cellStyles count="1">
    <x:cellStyle name="Normal" xfId="0"/>
  </x:cellStyles>
  <x:dxfs count="4">
    <x:dxf>
      <x:fill>
        <x:patternFill>
          <x:bgColor rgb="FFFFF2CC"/>
        </x:patternFill>
      </x:fill>
    </x:dxf>
    <x:dxf>
      <x:fill>
        <x:patternFill>
          <x:bgColor rgb="FFFFF2CC"/>
        </x:patternFill>
      </x:fill>
    </x:dxf>
    <x:dxf>
      <x:font>
        <x:color rgb="FF7F6000"/>
      </x:font>
      <x:fill>
        <x:patternFill>
          <x:bgColor rgb="FFFFF2CC"/>
        </x:patternFill>
      </x:fill>
    </x:dxf>
    <x:dxf>
      <x:font>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93db6a1bc34980" /><Relationship Type="http://schemas.openxmlformats.org/officeDocument/2006/relationships/theme" Target="/xl/theme/theme1.xml" Id="R3e1e52ecbeff45c0" /><Relationship Type="http://schemas.openxmlformats.org/officeDocument/2006/relationships/sharedStrings" Target="/xl/sharedStrings.xml" Id="Ra9c507f5592f4ed9" /><Relationship Type="http://schemas.openxmlformats.org/officeDocument/2006/relationships/worksheet" Target="/xl/worksheets/sheet1.xml" Id="Re94f194a0fe14123" /><Relationship Type="http://schemas.openxmlformats.org/officeDocument/2006/relationships/worksheet" Target="/xl/worksheets/sheet2.xml" Id="Re24ee4d5ddec4c96" /></Relationships>
</file>

<file path=xl/tables/table1.xml><?xml version="1.0" encoding="utf-8"?>
<x:table xmlns:x="http://schemas.openxmlformats.org/spreadsheetml/2006/main" id="1" name="PmcBlindAnnotationTable" displayName="PmcBlindAnnotationTable" ref="A4:AJ24" headerRowCount="1" totalsRowCount="0" totalsRowShown="0">
  <x:tableColumns count="36">
    <x:tableColumn id="1" name="candidate_id"/>
    <x:tableColumn id="2" name="natural_or_constructed"/>
    <x:tableColumn id="3" name="candidate_status"/>
    <x:tableColumn id="4" name="citing_pmcid"/>
    <x:tableColumn id="5" name="citing_title"/>
    <x:tableColumn id="6" name="citing_context_marked"/>
    <x:tableColumn id="7" name="citing_sentence_marked"/>
    <x:tableColumn id="8" name="citing_xml_paragraph"/>
    <x:tableColumn id="9" name="citing_doi"/>
    <x:tableColumn id="10" name="citing_url"/>
    <x:tableColumn id="11" name="citing_license"/>
    <x:tableColumn id="12" name="citing_xml_sha256"/>
    <x:tableColumn id="13" name="cited_pmcid"/>
    <x:tableColumn id="14" name="cited_title"/>
    <x:tableColumn id="15" name="cited_evidence"/>
    <x:tableColumn id="16" name="cited_xml_paragraph"/>
    <x:tableColumn id="17" name="cited_doi"/>
    <x:tableColumn id="18" name="cited_url"/>
    <x:tableColumn id="19" name="cited_license"/>
    <x:tableColumn id="20" name="cited_xml_sha256"/>
    <x:tableColumn id="21" name="evidence_locator"/>
    <x:tableColumn id="22" name="overlap_check"/>
    <x:tableColumn id="23" name="annotator_1_id"/>
    <x:tableColumn id="24" name="annotator_1_label"/>
    <x:tableColumn id="25" name="annotator_1_evidence_status"/>
    <x:tableColumn id="26" name="annotator_1_evidence_locator"/>
    <x:tableColumn id="27" name="annotator_1_reason"/>
    <x:tableColumn id="28" name="annotator_2_id"/>
    <x:tableColumn id="29" name="annotator_2_label"/>
    <x:tableColumn id="30" name="annotator_2_evidence_status"/>
    <x:tableColumn id="31" name="annotator_2_evidence_locator"/>
    <x:tableColumn id="32" name="annotator_2_reason"/>
    <x:tableColumn id="33" name="project_label"/>
    <x:tableColumn id="34" name="adjudicated_label"/>
    <x:tableColumn id="35" name="adjudication_reason"/>
    <x:tableColumn id="36" name="retur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2904de908d47f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92" hidden="0" customWidth="1"/>
  </x:cols>
  <x:sheetData>
    <x:row r="1">
      <x:c r="A1" s="11" t="str">
        <x:v>PMC natural 候选盲标表 v1</x:v>
      </x:c>
      <x:c r="B1" s="11"/>
      <x:c r="C1" s="11"/>
      <x:c r="D1" s="11"/>
      <x:c r="E1" s="11"/>
      <x:c r="F1" s="11"/>
      <x:c r="G1" s="11"/>
      <x:c r="H1" s="11"/>
    </x:row>
    <x:row r="2">
      <x:c r="A2" s="12"/>
      <x:c r="B2" s="12"/>
      <x:c r="C2" s="12"/>
      <x:c r="D2" s="12"/>
      <x:c r="E2" s="12"/>
      <x:c r="F2" s="12"/>
      <x:c r="G2" s="12"/>
      <x:c r="H2" s="12"/>
    </x:row>
    <x:row r="3" ht="15" hidden="0" customHeight="1">
      <x:c r="A3" s="13" t="str">
        <x:v>用途</x:v>
      </x:c>
      <x:c r="B3" s="14" t="str">
        <x:v>供第二位标注者独立填写，不把候选池当作正式试标集。</x:v>
      </x:c>
      <x:c r="C3" s="12"/>
      <x:c r="D3" s="12"/>
      <x:c r="E3" s="12"/>
      <x:c r="F3" s="12"/>
      <x:c r="G3" s="12"/>
      <x:c r="H3" s="12"/>
    </x:row>
    <x:row r="4" ht="15" hidden="0" customHeight="1">
      <x:c r="A4" s="13" t="str">
        <x:v>候选范围</x:v>
      </x:c>
      <x:c r="B4" s="14" t="str">
        <x:v>PMC-OA-V2-01—20，共 20 条自然发生引用候选。</x:v>
      </x:c>
      <x:c r="C4" s="12"/>
      <x:c r="D4" s="12"/>
      <x:c r="E4" s="12"/>
      <x:c r="F4" s="12"/>
      <x:c r="G4" s="12"/>
      <x:c r="H4" s="12"/>
    </x:row>
    <x:row r="5" ht="15" hidden="0" customHeight="1">
      <x:c r="A5" s="13" t="str">
        <x:v>当前状态</x:v>
      </x:c>
      <x:c r="B5" s="14" t="str">
        <x:v>候选池；尚未完成完整 train/dev/test、调参和评测集去重。</x:v>
      </x:c>
      <x:c r="C5" s="12"/>
      <x:c r="D5" s="12"/>
      <x:c r="E5" s="12"/>
      <x:c r="F5" s="12"/>
      <x:c r="G5" s="12"/>
      <x:c r="H5" s="12"/>
    </x:row>
    <x:row r="6" ht="15" hidden="0" customHeight="1">
      <x:c r="A6" s="13" t="str">
        <x:v>盲标要求</x:v>
      </x:c>
      <x:c r="B6" s="14" t="str">
        <x:v>只填写 annotator_1_*；不要填写 annotator_2_*、project_label 或 adjudicated_*。</x:v>
      </x:c>
      <x:c r="C6" s="12"/>
      <x:c r="D6" s="12"/>
      <x:c r="E6" s="12"/>
      <x:c r="F6" s="12"/>
      <x:c r="G6" s="12"/>
      <x:c r="H6" s="12"/>
    </x:row>
    <x:row r="7" ht="15" hidden="0" customHeight="1">
      <x:c r="A7" s="13" t="str">
        <x:v>标签</x:v>
      </x:c>
      <x:c r="B7" s="14" t="str">
        <x:v>ACCURATE / NOT_ACCURATE / IRRELEVANT；不确定时先保留理由并标 evidence_status。</x:v>
      </x:c>
      <x:c r="C7" s="12"/>
      <x:c r="D7" s="12"/>
      <x:c r="E7" s="12"/>
      <x:c r="F7" s="12"/>
      <x:c r="G7" s="12"/>
      <x:c r="H7" s="12"/>
    </x:row>
    <x:row r="8" ht="15" hidden="0" customHeight="1">
      <x:c r="A8" s="13" t="str">
        <x:v>证据状态</x:v>
      </x:c>
      <x:c r="B8" s="14" t="str">
        <x:v>已定位 / 待定位 / 源文缺失 / 不适用；证据状态不是准确性标签。</x:v>
      </x:c>
      <x:c r="C8" s="12"/>
      <x:c r="D8" s="12"/>
      <x:c r="E8" s="12"/>
      <x:c r="F8" s="12"/>
      <x:c r="G8" s="12"/>
      <x:c r="H8" s="12"/>
    </x:row>
    <x:row r="9" ht="15" hidden="0" customHeight="1">
      <x:c r="A9" s="13" t="str">
        <x:v>定位口径</x:v>
      </x:c>
      <x:c r="B9" s="14" t="str">
        <x:v>优先使用稳定段落或页码；若暂时只有 XML 段落，完整记录段落号和 URL。</x:v>
      </x:c>
      <x:c r="C9" s="12"/>
      <x:c r="D9" s="12"/>
      <x:c r="E9" s="12"/>
      <x:c r="F9" s="12"/>
      <x:c r="G9" s="12"/>
      <x:c r="H9" s="12"/>
    </x:row>
    <x:row r="10" ht="15" hidden="0" customHeight="1">
      <x:c r="A10" s="13" t="str">
        <x:v>回传内容</x:v>
      </x:c>
      <x:c r="B10" s="14" t="str">
        <x:v>请保留 candidate_id，并回传填写后的表格；双方原值回收后再共同裁决。</x:v>
      </x:c>
      <x:c r="C10" s="12"/>
      <x:c r="D10" s="12"/>
      <x:c r="E10" s="12"/>
      <x:c r="F10" s="12"/>
      <x:c r="G10" s="12"/>
      <x:c r="H10" s="12"/>
    </x:row>
    <x:row r="11" ht="15" hidden="0" customHeight="1">
      <x:c r="A11" s="12"/>
      <x:c r="B11" s="12"/>
      <x:c r="C11" s="12"/>
      <x:c r="D11" s="12"/>
      <x:c r="E11" s="12"/>
      <x:c r="F11" s="12"/>
      <x:c r="G11" s="12"/>
      <x:c r="H11" s="12"/>
    </x:row>
    <x:row r="12" ht="15" hidden="0" customHeight="1">
      <x:c r="A12" s="15" t="str">
        <x:v>可填写字段</x:v>
      </x:c>
      <x:c r="B12" s="14" t="str">
        <x:v>annotator_1_id；annotator_1_label；annotator_1_evidence_status；annotator_1_evidence_locator；annotator_1_reason</x:v>
      </x:c>
      <x:c r="C12" s="12"/>
      <x:c r="D12" s="12"/>
      <x:c r="E12" s="12"/>
      <x:c r="F12" s="12"/>
      <x:c r="G12" s="12"/>
      <x:c r="H12" s="12"/>
    </x:row>
    <x:row r="13" ht="15" hidden="0" customHeight="1">
      <x:c r="A13" s="15" t="str">
        <x:v>不要填写</x:v>
      </x:c>
      <x:c r="B13" s="14" t="str">
        <x:v>annotator_2_*；project_label；adjudicated_label；adjudication_reason</x:v>
      </x:c>
      <x:c r="C13" s="12"/>
      <x:c r="D13" s="12"/>
      <x:c r="E13" s="12"/>
      <x:c r="F13" s="12"/>
      <x:c r="G13" s="12"/>
      <x:c r="H13" s="12"/>
    </x:row>
    <x:row r="14" ht="15" hidden="0" customHeight="1">
      <x:c r="A14" s="15" t="str">
        <x:v>自然/构造标记</x:v>
      </x:c>
      <x:c r="B14" s="14" t="str">
        <x:v>本批均为 natural；不得改写为 constructed。</x:v>
      </x:c>
      <x:c r="C14" s="12"/>
      <x:c r="D14" s="12"/>
      <x:c r="E14" s="12"/>
      <x:c r="F14" s="12"/>
      <x:c r="G14" s="12"/>
      <x:c r="H14" s="12"/>
    </x:row>
    <x:row r="15" ht="15" hidden="0" customHeight="1">
      <x:c r="A15" s="15" t="str">
        <x:v>数据来源</x:v>
      </x:c>
      <x:c r="B15" s="14" t="str">
        <x:v>PMC 开放全文；来源 URL、许可和 SHA-256 已写入主表。</x:v>
      </x:c>
      <x:c r="C15" s="12"/>
      <x:c r="D15" s="12"/>
      <x:c r="E15" s="12"/>
      <x:c r="F15" s="12"/>
      <x:c r="G15" s="12"/>
      <x:c r="H15" s="12"/>
    </x:row>
    <x:row r="16">
      <x:c r="A16" s="12"/>
      <x:c r="B16" s="12"/>
      <x:c r="C16" s="12"/>
      <x:c r="D16" s="12"/>
      <x:c r="E16" s="12"/>
      <x:c r="F16" s="12"/>
      <x:c r="G16" s="12"/>
      <x:c r="H16" s="12"/>
    </x:row>
    <x:row r="17">
      <x:c r="A17" s="12"/>
      <x:c r="B17" s="12"/>
      <x:c r="C17" s="12"/>
      <x:c r="D17" s="12"/>
      <x:c r="E17" s="12"/>
      <x:c r="F17" s="12"/>
      <x:c r="G17" s="12"/>
      <x:c r="H17" s="12"/>
    </x:row>
    <x:row r="18">
      <x:c r="A18" s="12"/>
      <x:c r="B18" s="12"/>
      <x:c r="C18" s="12"/>
      <x:c r="D18" s="12"/>
      <x:c r="E18" s="12"/>
      <x:c r="F18" s="12"/>
      <x:c r="G18" s="12"/>
      <x:c r="H18" s="12"/>
    </x:row>
    <x:row r="19">
      <x:c r="A19" s="12"/>
      <x:c r="B19" s="12"/>
      <x:c r="C19" s="12"/>
      <x:c r="D19" s="12"/>
      <x:c r="E19" s="12"/>
      <x:c r="F19" s="12"/>
      <x:c r="G19" s="12"/>
      <x:c r="H19" s="12"/>
    </x:row>
    <x:row r="20">
      <x:c r="A20" s="12"/>
      <x:c r="B20" s="12"/>
      <x:c r="C20" s="12"/>
      <x:c r="D20" s="12"/>
      <x:c r="E20" s="12"/>
      <x:c r="F20" s="12"/>
      <x:c r="G20" s="12"/>
      <x:c r="H20" s="12"/>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6" hidden="0" customWidth="1"/>
    <x:col min="2" max="2" width="16" hidden="0" customWidth="1"/>
    <x:col min="3" max="3" width="19" hidden="0" customWidth="1"/>
    <x:col min="4" max="4" width="14" hidden="0" customWidth="1"/>
    <x:col min="5" max="5" width="34" hidden="0" customWidth="1"/>
    <x:col min="6" max="6" width="68" hidden="0" customWidth="1"/>
    <x:col min="7" max="7" width="54" hidden="0" customWidth="1"/>
    <x:col min="8" max="8" width="12" hidden="0" customWidth="1"/>
    <x:col min="9" max="9" width="22" hidden="0" customWidth="1"/>
    <x:col min="10" max="10" width="40" hidden="0" customWidth="1"/>
    <x:col min="11" max="11" width="28" hidden="0" customWidth="1"/>
    <x:col min="12" max="12" width="38" hidden="0" customWidth="1"/>
    <x:col min="13" max="13" width="14" hidden="0" customWidth="1"/>
    <x:col min="14" max="14" width="34" hidden="0" customWidth="1"/>
    <x:col min="15" max="15" width="68" hidden="0" customWidth="1"/>
    <x:col min="16" max="16" width="14" hidden="0" customWidth="1"/>
    <x:col min="17" max="17" width="22" hidden="0" customWidth="1"/>
    <x:col min="18" max="18" width="40" hidden="0" customWidth="1"/>
    <x:col min="19" max="19" width="28" hidden="0" customWidth="1"/>
    <x:col min="20" max="20" width="38" hidden="0" customWidth="1"/>
    <x:col min="21" max="21" width="34" hidden="0" customWidth="1"/>
    <x:col min="22" max="22" width="30" hidden="0" customWidth="1"/>
    <x:col min="23" max="23" width="18" hidden="0" customWidth="1"/>
    <x:col min="24" max="24" width="18" hidden="0" customWidth="1"/>
    <x:col min="25" max="25" width="22" hidden="0" customWidth="1"/>
    <x:col min="26" max="26" width="34" hidden="0" customWidth="1"/>
    <x:col min="27" max="27" width="44" hidden="0" customWidth="1"/>
    <x:col min="28" max="28" width="18" hidden="0" customWidth="1"/>
    <x:col min="29" max="29" width="18" hidden="0" customWidth="1"/>
    <x:col min="30" max="30" width="22" hidden="0" customWidth="1"/>
    <x:col min="31" max="31" width="34" hidden="0" customWidth="1"/>
    <x:col min="32" max="32" width="44" hidden="0" customWidth="1"/>
    <x:col min="33" max="33" width="18" hidden="0" customWidth="1"/>
    <x:col min="34" max="34" width="18" hidden="0" customWidth="1"/>
    <x:col min="35" max="35" width="44" hidden="0" customWidth="1"/>
    <x:col min="36" max="36" width="14" hidden="0" customWidth="1"/>
  </x:cols>
  <x:sheetData>
    <x:row r="1">
      <x:c r="A1" s="1" t="str">
        <x:v>PMC natural 候选盲标表（20 条，候选池，不是正式试标集）</x:v>
      </x:c>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row>
    <x:row r="2">
      <x:c r="A2" s="17" t="str">
        <x:v>仅请独立标注者填写 annotator_1_*；不要填写 annotator_2_*、project_label 或 adjudicated_*。</x:v>
      </x:c>
      <x:c r="B2" s="17"/>
      <x:c r="C2" s="17"/>
      <x:c r="D2" s="17"/>
      <x:c r="E2" s="17"/>
      <x:c r="F2" s="17"/>
      <x:c r="G2" s="17"/>
      <x:c r="H2" s="17"/>
      <x:c r="I2" s="17"/>
      <x:c r="J2" s="17"/>
      <x:c r="K2" s="17"/>
      <x:c r="L2" s="17"/>
      <x:c r="M2" s="17"/>
      <x:c r="N2" s="17"/>
      <x:c r="O2" s="17"/>
      <x:c r="P2" s="17"/>
      <x:c r="Q2" s="17"/>
      <x:c r="R2" s="17"/>
      <x:c r="S2" s="17"/>
      <x:c r="T2" s="17"/>
      <x:c r="U2" s="17"/>
      <x:c r="V2" s="17"/>
      <x:c r="W2" s="17"/>
      <x:c r="X2" s="17"/>
      <x:c r="Y2" s="17"/>
      <x:c r="Z2" s="17"/>
      <x:c r="AA2" s="17"/>
      <x:c r="AB2" s="17"/>
      <x:c r="AC2" s="17"/>
      <x:c r="AD2" s="17"/>
      <x:c r="AE2" s="17"/>
      <x:c r="AF2" s="17"/>
      <x:c r="AG2" s="17"/>
      <x:c r="AH2" s="17"/>
      <x:c r="AI2" s="17"/>
      <x:c r="AJ2" s="17"/>
    </x:row>
    <x:row r="4" ht="34" hidden="0" customHeight="1">
      <x:c r="A4" s="26" t="str">
        <x:v>candidate_id</x:v>
      </x:c>
      <x:c r="B4" s="26" t="str">
        <x:v>natural_or_constructed</x:v>
      </x:c>
      <x:c r="C4" s="26" t="str">
        <x:v>candidate_status</x:v>
      </x:c>
      <x:c r="D4" s="26" t="str">
        <x:v>citing_pmcid</x:v>
      </x:c>
      <x:c r="E4" s="26" t="str">
        <x:v>citing_title</x:v>
      </x:c>
      <x:c r="F4" s="26" t="str">
        <x:v>citing_context_marked</x:v>
      </x:c>
      <x:c r="G4" s="26" t="str">
        <x:v>citing_sentence_marked</x:v>
      </x:c>
      <x:c r="H4" s="26" t="str">
        <x:v>citing_xml_paragraph</x:v>
      </x:c>
      <x:c r="I4" s="26" t="str">
        <x:v>citing_doi</x:v>
      </x:c>
      <x:c r="J4" s="26" t="str">
        <x:v>citing_url</x:v>
      </x:c>
      <x:c r="K4" s="26" t="str">
        <x:v>citing_license</x:v>
      </x:c>
      <x:c r="L4" s="26" t="str">
        <x:v>citing_xml_sha256</x:v>
      </x:c>
      <x:c r="M4" s="26" t="str">
        <x:v>cited_pmcid</x:v>
      </x:c>
      <x:c r="N4" s="26" t="str">
        <x:v>cited_title</x:v>
      </x:c>
      <x:c r="O4" s="26" t="str">
        <x:v>cited_evidence</x:v>
      </x:c>
      <x:c r="P4" s="26" t="str">
        <x:v>cited_xml_paragraph</x:v>
      </x:c>
      <x:c r="Q4" s="26" t="str">
        <x:v>cited_doi</x:v>
      </x:c>
      <x:c r="R4" s="26" t="str">
        <x:v>cited_url</x:v>
      </x:c>
      <x:c r="S4" s="26" t="str">
        <x:v>cited_license</x:v>
      </x:c>
      <x:c r="T4" s="26" t="str">
        <x:v>cited_xml_sha256</x:v>
      </x:c>
      <x:c r="U4" s="26" t="str">
        <x:v>evidence_locator</x:v>
      </x:c>
      <x:c r="V4" s="26" t="str">
        <x:v>overlap_check</x:v>
      </x:c>
      <x:c r="W4" s="26" t="str">
        <x:v>annotator_1_id</x:v>
      </x:c>
      <x:c r="X4" s="26" t="str">
        <x:v>annotator_1_label</x:v>
      </x:c>
      <x:c r="Y4" s="26" t="str">
        <x:v>annotator_1_evidence_status</x:v>
      </x:c>
      <x:c r="Z4" s="26" t="str">
        <x:v>annotator_1_evidence_locator</x:v>
      </x:c>
      <x:c r="AA4" s="26" t="str">
        <x:v>annotator_1_reason</x:v>
      </x:c>
      <x:c r="AB4" s="26" t="str">
        <x:v>annotator_2_id</x:v>
      </x:c>
      <x:c r="AC4" s="26" t="str">
        <x:v>annotator_2_label</x:v>
      </x:c>
      <x:c r="AD4" s="26" t="str">
        <x:v>annotator_2_evidence_status</x:v>
      </x:c>
      <x:c r="AE4" s="26" t="str">
        <x:v>annotator_2_evidence_locator</x:v>
      </x:c>
      <x:c r="AF4" s="26" t="str">
        <x:v>annotator_2_reason</x:v>
      </x:c>
      <x:c r="AG4" s="26" t="str">
        <x:v>project_label</x:v>
      </x:c>
      <x:c r="AH4" s="26" t="str">
        <x:v>adjudicated_label</x:v>
      </x:c>
      <x:c r="AI4" s="26" t="str">
        <x:v>adjudication_reason</x:v>
      </x:c>
      <x:c r="AJ4" s="26" t="str">
        <x:v>return_status</x:v>
      </x:c>
    </x:row>
    <x:row r="5" ht="864" hidden="0" customHeight="1">
      <x:c r="A5" s="27" t="str">
        <x:v>PMC-OA-V2-01</x:v>
      </x:c>
      <x:c r="B5" s="27" t="str">
        <x:v>natural</x:v>
      </x:c>
      <x:c r="C5" s="27" t="str">
        <x:v>待人工筛选/双人盲标</x:v>
      </x:c>
      <x:c r="D5" s="27" t="str">
        <x:v>PMC13627012</x:v>
      </x:c>
      <x:c r="E5" s="27" t="str">
        <x:v>Flow diversion versus conventional endovascular treatment for ruptured basilar artery dissecting aneurysms: a single-center cohort study</x:v>
      </x:c>
      <x:c r="F5" s="27" t="str">
        <x:v>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v>
      </x:c>
      <x:c r="G5" s="27" t="str">
        <x:v>Consequently, experience derived predominantly from vertebral artery dissecting aneurysms cannot be directly extrapolated to BADA ([CITED:PMC10715499]).</x:v>
      </x:c>
      <x:c r="H5" s="27" t="n">
        <x:v>8</x:v>
      </x:c>
      <x:c r="I5" s="27" t="str">
        <x:v>10.3389/fneur.2026.1940068</x:v>
      </x:c>
      <x:c r="J5" s="27" t="str">
        <x:v>https://pmc.ncbi.nlm.nih.gov/articles/PMC13627012/</x:v>
      </x:c>
      <x:c r="K5" s="27" t="str">
        <x:v>https://creativecommons.org/licenses/by/4.0/</x:v>
      </x:c>
      <x:c r="L5" s="27" t="str">
        <x:v>F92992333EBF802EDFC11D8E3B0790C3B728EA93D3F6417B845FEC56CE933B67</x:v>
      </x:c>
      <x:c r="M5" s="27" t="str">
        <x:v>PMC10715499</x:v>
      </x:c>
      <x:c r="N5" s="27" t="str">
        <x:v>Reconstructive endovascular treatment for basilar artery trunk aneurysms: complications and clinical and angiography outcomes</x:v>
      </x:c>
      <x:c r="O5" s="27" t="str">
        <x:v>Basilar artery trunk aneurysms (BTAs) are rare intracranial aneurysms. We aim to investigate the procedural complications and clinical and angiographic outcomes of BTAs treated with reconstructive endovascular treatment (EVT).</x:v>
      </x:c>
      <x:c r="P5" s="27" t="n">
        <x:v>1</x:v>
      </x:c>
      <x:c r="Q5" s="27" t="str">
        <x:v>10.1136/jnis-2022-019864</x:v>
      </x:c>
      <x:c r="R5" s="27" t="str">
        <x:v>https://pmc.ncbi.nlm.nih.gov/articles/PMC10715499/</x:v>
      </x:c>
      <x:c r="S5" s="27" t="str">
        <x:v>https://creativecommons.org/licenses/by-nc/4.0/</x:v>
      </x:c>
      <x:c r="T5" s="27" t="str">
        <x:v>B0E94E71DA1EF955F0404E56EA4584E885A5A462D50FF0C6D9978C3BBFD7EB45</x:v>
      </x:c>
      <x:c r="U5" s="27" t="str">
        <x:v>NCBI PMC OA BioC JSON; PMC10715499; section=ABSTRACT; passage_index=2, offset=137; exact raw/normalized evidence passage; URL=https://www.ncbi.nlm.nih.gov/research/bionlp/RESTful/pmcoa.cgi/PMC10715499/unicode</x:v>
      </x:c>
      <x:c r="V5" s="27" t="str">
        <x:v>待与完整 train/dev/test、调参和评测清单复核</x:v>
      </x:c>
      <x:c r="W5" s="28"/>
      <x:c r="X5" s="28"/>
      <x:c r="Y5" s="28"/>
      <x:c r="Z5" s="28"/>
      <x:c r="AA5" s="28"/>
      <x:c r="AB5" s="29"/>
      <x:c r="AC5" s="29"/>
      <x:c r="AD5" s="29"/>
      <x:c r="AE5" s="29"/>
      <x:c r="AF5" s="29"/>
      <x:c r="AG5" s="29"/>
      <x:c r="AH5" s="29"/>
      <x:c r="AI5" s="29"/>
      <x:c r="AJ5" s="30" t="str">
        <x:f>IF(COUNTA(W5:AA5)=5,"已填写","待填写")</x:f>
        <x:v>待填写</x:v>
      </x:c>
    </x:row>
    <x:row r="6" ht="615.5999755859375" hidden="0" customHeight="1">
      <x:c r="A6" s="27" t="str">
        <x:v>PMC-OA-V2-02</x:v>
      </x:c>
      <x:c r="B6" s="27" t="str">
        <x:v>natural</x:v>
      </x:c>
      <x:c r="C6" s="27" t="str">
        <x:v>待人工筛选/双人盲标</x:v>
      </x:c>
      <x:c r="D6" s="27" t="str">
        <x:v>PMC13627012</x:v>
      </x:c>
      <x:c r="E6" s="27" t="str">
        <x:v>Flow diversion versus conventional endovascular treatment for ruptured basilar artery dissecting aneurysms: a single-center cohort study</x:v>
      </x:c>
      <x:c r="F6" s="27"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G6" s="27"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H6" s="27" t="n">
        <x:v>9</x:v>
      </x:c>
      <x:c r="I6" s="27" t="str">
        <x:v>10.3389/fneur.2026.1940068</x:v>
      </x:c>
      <x:c r="J6" s="27" t="str">
        <x:v>https://pmc.ncbi.nlm.nih.gov/articles/PMC13627012/</x:v>
      </x:c>
      <x:c r="K6" s="27" t="str">
        <x:v>https://creativecommons.org/licenses/by/4.0/</x:v>
      </x:c>
      <x:c r="L6" s="27" t="str">
        <x:v>F92992333EBF802EDFC11D8E3B0790C3B728EA93D3F6417B845FEC56CE933B67</x:v>
      </x:c>
      <x:c r="M6" s="27" t="str">
        <x:v>PMC10715499</x:v>
      </x:c>
      <x:c r="N6" s="27" t="str">
        <x:v>Reconstructive endovascular treatment for basilar artery trunk aneurysms: complications and clinical and angiography outcomes</x:v>
      </x:c>
      <x:c r="O6" s="27" t="str">
        <x:v>Basilar artery trunk aneurysms (BTAs) are rare intracranial aneurysms. We aim to investigate the procedural complications and clinical and angiographic outcomes of BTAs treated with reconstructive endovascular treatment (EVT).</x:v>
      </x:c>
      <x:c r="P6" s="27" t="n">
        <x:v>1</x:v>
      </x:c>
      <x:c r="Q6" s="27" t="str">
        <x:v>10.1136/jnis-2022-019864</x:v>
      </x:c>
      <x:c r="R6" s="27" t="str">
        <x:v>https://pmc.ncbi.nlm.nih.gov/articles/PMC10715499/</x:v>
      </x:c>
      <x:c r="S6" s="27" t="str">
        <x:v>https://creativecommons.org/licenses/by-nc/4.0/</x:v>
      </x:c>
      <x:c r="T6" s="27" t="str">
        <x:v>B0E94E71DA1EF955F0404E56EA4584E885A5A462D50FF0C6D9978C3BBFD7EB45</x:v>
      </x:c>
      <x:c r="U6" s="27" t="str">
        <x:v>NCBI PMC OA BioC JSON; PMC10715499; section=ABSTRACT; passage_index=2, offset=137; exact raw/normalized evidence passage; URL=https://www.ncbi.nlm.nih.gov/research/bionlp/RESTful/pmcoa.cgi/PMC10715499/unicode</x:v>
      </x:c>
      <x:c r="V6" s="27" t="str">
        <x:v>待与完整 train/dev/test、调参和评测清单复核</x:v>
      </x:c>
      <x:c r="W6" s="28"/>
      <x:c r="X6" s="28"/>
      <x:c r="Y6" s="28"/>
      <x:c r="Z6" s="28"/>
      <x:c r="AA6" s="28"/>
      <x:c r="AB6" s="29"/>
      <x:c r="AC6" s="29"/>
      <x:c r="AD6" s="29"/>
      <x:c r="AE6" s="29"/>
      <x:c r="AF6" s="29"/>
      <x:c r="AG6" s="29"/>
      <x:c r="AH6" s="29"/>
      <x:c r="AI6" s="29"/>
      <x:c r="AJ6" s="30" t="str">
        <x:f>IF(COUNTA(W6:AA6)=5,"已填写","待填写")</x:f>
        <x:v>待填写</x:v>
      </x:c>
    </x:row>
    <x:row r="7" ht="615.5999755859375" hidden="0" customHeight="1">
      <x:c r="A7" s="27" t="str">
        <x:v>PMC-OA-V2-03</x:v>
      </x:c>
      <x:c r="B7" s="27" t="str">
        <x:v>natural</x:v>
      </x:c>
      <x:c r="C7" s="27" t="str">
        <x:v>待人工筛选/双人盲标</x:v>
      </x:c>
      <x:c r="D7" s="27" t="str">
        <x:v>PMC13627012</x:v>
      </x:c>
      <x:c r="E7" s="27" t="str">
        <x:v>Flow diversion versus conventional endovascular treatment for ruptured basilar artery dissecting aneurysms: a single-center cohort study</x:v>
      </x:c>
      <x:c r="F7" s="27"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G7" s="27"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H7" s="27" t="n">
        <x:v>9</x:v>
      </x:c>
      <x:c r="I7" s="27" t="str">
        <x:v>10.3389/fneur.2026.1940068</x:v>
      </x:c>
      <x:c r="J7" s="27" t="str">
        <x:v>https://pmc.ncbi.nlm.nih.gov/articles/PMC13627012/</x:v>
      </x:c>
      <x:c r="K7" s="27" t="str">
        <x:v>https://creativecommons.org/licenses/by/4.0/</x:v>
      </x:c>
      <x:c r="L7" s="27" t="str">
        <x:v>F92992333EBF802EDFC11D8E3B0790C3B728EA93D3F6417B845FEC56CE933B67</x:v>
      </x:c>
      <x:c r="M7" s="27" t="str">
        <x:v>PMC5007409</x:v>
      </x:c>
      <x:c r="N7" s="27" t="str">
        <x:v>Stent-Assisted Coil Embolization of Vertebrobasilar Dissecting Aneurysms: Procedural Outcomes and Factors for Recanalization</x:v>
      </x:c>
      <x:c r="O7" s="27" t="str">
        <x:v>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v>
      </x:c>
      <x:c r="P7" s="27" t="n">
        <x:v>1</x:v>
      </x:c>
      <x:c r="Q7" s="27" t="str">
        <x:v>10.3348/kjr.2016.17.5.801</x:v>
      </x:c>
      <x:c r="R7" s="27" t="str">
        <x:v>https://pmc.ncbi.nlm.nih.gov/articles/PMC5007409/</x:v>
      </x:c>
      <x:c r="S7" s="27" t="str">
        <x:v>http://creativecommons.org/licenses/by-nc/3.0/</x:v>
      </x:c>
      <x:c r="T7" s="27" t="str">
        <x:v>5F7B9C7EE6800A4235A04E84E0E66FF20C880F9970A58539D16B008E5C49D188</x:v>
      </x:c>
      <x:c r="U7" s="27" t="str">
        <x:v>NCBI PMC OA BioC JSON; PMC5007409; section=ABSTRACT; passage_index=2, offset=135; exact raw/normalized evidence passage; URL=https://www.ncbi.nlm.nih.gov/research/bionlp/RESTful/pmcoa.cgi/PMC5007409/unicode</x:v>
      </x:c>
      <x:c r="V7" s="27" t="str">
        <x:v>待与完整 train/dev/test、调参和评测清单复核</x:v>
      </x:c>
      <x:c r="W7" s="28"/>
      <x:c r="X7" s="28"/>
      <x:c r="Y7" s="28"/>
      <x:c r="Z7" s="28"/>
      <x:c r="AA7" s="28"/>
      <x:c r="AB7" s="29"/>
      <x:c r="AC7" s="29"/>
      <x:c r="AD7" s="29"/>
      <x:c r="AE7" s="29"/>
      <x:c r="AF7" s="29"/>
      <x:c r="AG7" s="29"/>
      <x:c r="AH7" s="29"/>
      <x:c r="AI7" s="29"/>
      <x:c r="AJ7" s="30" t="str">
        <x:f>IF(COUNTA(W7:AA7)=5,"已填写","待填写")</x:f>
        <x:v>待填写</x:v>
      </x:c>
    </x:row>
    <x:row r="8" ht="1803.5999755859375" hidden="0" customHeight="1">
      <x:c r="A8" s="27" t="str">
        <x:v>PMC-OA-V2-04</x:v>
      </x:c>
      <x:c r="B8" s="27" t="str">
        <x:v>natural</x:v>
      </x:c>
      <x:c r="C8" s="27" t="str">
        <x:v>待人工筛选/双人盲标</x:v>
      </x:c>
      <x:c r="D8" s="27" t="str">
        <x:v>PMC13627012</x:v>
      </x:c>
      <x:c r="E8" s="27" t="str">
        <x:v>Flow diversion versus conventional endovascular treatment for ruptured basilar artery dissecting aneurysms: a single-center cohort study</x:v>
      </x:c>
      <x:c r="F8" s="27" t="str">
        <x:v>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v>
      </x:c>
      <x:c r="G8" s="27" t="str">
        <x:v>Patients managed without endovascular treatment were excluded because the study was designed to evaluate and compare endovascular treatment strategies ([CITED:PMC10850450]).</x:v>
      </x:c>
      <x:c r="H8" s="27" t="n">
        <x:v>13</x:v>
      </x:c>
      <x:c r="I8" s="27" t="str">
        <x:v>10.3389/fneur.2026.1940068</x:v>
      </x:c>
      <x:c r="J8" s="27" t="str">
        <x:v>https://pmc.ncbi.nlm.nih.gov/articles/PMC13627012/</x:v>
      </x:c>
      <x:c r="K8" s="27" t="str">
        <x:v>https://creativecommons.org/licenses/by/4.0/</x:v>
      </x:c>
      <x:c r="L8" s="27" t="str">
        <x:v>F92992333EBF802EDFC11D8E3B0790C3B728EA93D3F6417B845FEC56CE933B67</x:v>
      </x:c>
      <x:c r="M8" s="27" t="str">
        <x:v>PMC10850450</x:v>
      </x:c>
      <x:c r="N8" s="27" t="str">
        <x:v>Emerging Concept of Intracranial Arterial Diseases: The Role of High Resolution Vessel Wall MRI</x:v>
      </x:c>
      <x:c r="O8" s="27" t="str">
        <x:v>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v>
      </x:c>
      <x:c r="P8" s="27" t="n">
        <x:v>1</x:v>
      </x:c>
      <x:c r="Q8" s="27" t="str">
        <x:v>10.5853/jos.2023.02481</x:v>
      </x:c>
      <x:c r="R8" s="27" t="str">
        <x:v>https://pmc.ncbi.nlm.nih.gov/articles/PMC10850450/</x:v>
      </x:c>
      <x:c r="S8" s="27" t="str">
        <x:v>https://creativecommons.org/licenses/by-nc/4.0/</x:v>
      </x:c>
      <x:c r="T8" s="27" t="str">
        <x:v>9B1D983A7A23A645D10E51D25705BCBFC1AF0DDD0175CB2E2E5C6E051A36970E</x:v>
      </x:c>
      <x:c r="U8" s="27" t="str">
        <x:v>NCBI PMC OA BioC JSON; PMC10850450; section=ABSTRACT; passage_index=1, offset=96; exact raw/normalized evidence passage; URL=https://www.ncbi.nlm.nih.gov/research/bionlp/RESTful/pmcoa.cgi/PMC10850450/unicode</x:v>
      </x:c>
      <x:c r="V8" s="27" t="str">
        <x:v>待与完整 train/dev/test、调参和评测清单复核</x:v>
      </x:c>
      <x:c r="W8" s="28"/>
      <x:c r="X8" s="28"/>
      <x:c r="Y8" s="28"/>
      <x:c r="Z8" s="28"/>
      <x:c r="AA8" s="28"/>
      <x:c r="AB8" s="29"/>
      <x:c r="AC8" s="29"/>
      <x:c r="AD8" s="29"/>
      <x:c r="AE8" s="29"/>
      <x:c r="AF8" s="29"/>
      <x:c r="AG8" s="29"/>
      <x:c r="AH8" s="29"/>
      <x:c r="AI8" s="29"/>
      <x:c r="AJ8" s="30" t="str">
        <x:f>IF(COUNTA(W8:AA8)=5,"已填写","待填写")</x:f>
        <x:v>待填写</x:v>
      </x:c>
    </x:row>
    <x:row r="9" ht="1101.5999755859375" hidden="0" customHeight="1">
      <x:c r="A9" s="27" t="str">
        <x:v>PMC-OA-V2-05</x:v>
      </x:c>
      <x:c r="B9" s="27" t="str">
        <x:v>natural</x:v>
      </x:c>
      <x:c r="C9" s="27" t="str">
        <x:v>待人工筛选/双人盲标</x:v>
      </x:c>
      <x:c r="D9" s="27" t="str">
        <x:v>PMC13626993</x:v>
      </x:c>
      <x:c r="E9" s="27" t="str">
        <x:v>Case Report: Triple-negative metaplastic breast carcinoma with primary resistance to neoadjuvant chemoimmunotherapy, refractory tumor necrosis-related fever, and rapid postoperative disease progression</x:v>
      </x:c>
      <x:c r="F9" s="27" t="str">
        <x:v>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v>
      </x:c>
      <x:c r="G9" s="27" t="str">
        <x:v>In addition, its response to standard chemotherapy is generally poorer than that of conventional TNBC ([CITED:PMC11309924]–[OTHER_CITATION]).</x:v>
      </x:c>
      <x:c r="H9" s="27" t="n">
        <x:v>4</x:v>
      </x:c>
      <x:c r="I9" s="27" t="str">
        <x:v>10.3389/fonc.2026.1943838</x:v>
      </x:c>
      <x:c r="J9" s="27" t="str">
        <x:v>https://pmc.ncbi.nlm.nih.gov/articles/PMC13626993/</x:v>
      </x:c>
      <x:c r="K9" s="27" t="str">
        <x:v>https://creativecommons.org/licenses/by/4.0/</x:v>
      </x:c>
      <x:c r="L9" s="27" t="str">
        <x:v>19F779CB197E953D2FE4292E7926669ADBDC1B61FBEAB6A3DD703F82EAD1E7A1</x:v>
      </x:c>
      <x:c r="M9" s="27" t="str">
        <x:v>PMC11309924</x:v>
      </x:c>
      <x:c r="N9" s="27" t="str">
        <x:v>A comprehensive overview of metaplastic breast cancer: Features and treatments</x:v>
      </x:c>
      <x:c r="O9" s="27" t="str">
        <x:v>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v>
      </x:c>
      <x:c r="P9" s="27" t="n">
        <x:v>1</x:v>
      </x:c>
      <x:c r="Q9" s="27" t="str">
        <x:v>10.1111/cas.16208</x:v>
      </x:c>
      <x:c r="R9" s="27" t="str">
        <x:v>https://pmc.ncbi.nlm.nih.gov/articles/PMC11309924/</x:v>
      </x:c>
      <x:c r="S9" s="27" t="str">
        <x:v>https://creativecommons.org/licenses/by-nc-nd/4.0/</x:v>
      </x:c>
      <x:c r="T9" s="27" t="str">
        <x:v>F05BAB6AE59FCB83879D3252F09BFD99128965BB38E674984F9F220EBA061A17</x:v>
      </x:c>
      <x:c r="U9" s="27" t="str">
        <x:v>NCBI PMC OA BioC JSON; PMC11309924; section=ABSTRACT; passage_index=2, offset=88; exact raw/normalized evidence passage; URL=https://www.ncbi.nlm.nih.gov/research/bionlp/RESTful/pmcoa.cgi/PMC11309924/unicode</x:v>
      </x:c>
      <x:c r="V9" s="27" t="str">
        <x:v>待与完整 train/dev/test、调参和评测清单复核</x:v>
      </x:c>
      <x:c r="W9" s="28"/>
      <x:c r="X9" s="28"/>
      <x:c r="Y9" s="28"/>
      <x:c r="Z9" s="28"/>
      <x:c r="AA9" s="28"/>
      <x:c r="AB9" s="29"/>
      <x:c r="AC9" s="29"/>
      <x:c r="AD9" s="29"/>
      <x:c r="AE9" s="29"/>
      <x:c r="AF9" s="29"/>
      <x:c r="AG9" s="29"/>
      <x:c r="AH9" s="29"/>
      <x:c r="AI9" s="29"/>
      <x:c r="AJ9" s="30" t="str">
        <x:f>IF(COUNTA(W9:AA9)=5,"已填写","待填写")</x:f>
        <x:v>待填写</x:v>
      </x:c>
    </x:row>
    <x:row r="10" ht="1468.800048828125" hidden="0" customHeight="1">
      <x:c r="A10" s="27" t="str">
        <x:v>PMC-OA-V2-06</x:v>
      </x:c>
      <x:c r="B10" s="27" t="str">
        <x:v>natural</x:v>
      </x:c>
      <x:c r="C10" s="27" t="str">
        <x:v>待人工筛选/双人盲标</x:v>
      </x:c>
      <x:c r="D10" s="27" t="str">
        <x:v>PMC13626993</x:v>
      </x:c>
      <x:c r="E10" s="27" t="str">
        <x:v>Case Report: Triple-negative metaplastic breast carcinoma with primary resistance to neoadjuvant chemoimmunotherapy, refractory tumor necrosis-related fever, and rapid postoperative disease progression</x:v>
      </x:c>
      <x:c r="F10" s="27" t="str">
        <x:v>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v>
      </x:c>
      <x:c r="G10" s="27" t="str">
        <x:v>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v>
      </x:c>
      <x:c r="H10" s="27" t="n">
        <x:v>5</x:v>
      </x:c>
      <x:c r="I10" s="27" t="str">
        <x:v>10.3389/fonc.2026.1943838</x:v>
      </x:c>
      <x:c r="J10" s="27" t="str">
        <x:v>https://pmc.ncbi.nlm.nih.gov/articles/PMC13626993/</x:v>
      </x:c>
      <x:c r="K10" s="27" t="str">
        <x:v>https://creativecommons.org/licenses/by/4.0/</x:v>
      </x:c>
      <x:c r="L10" s="27" t="str">
        <x:v>19F779CB197E953D2FE4292E7926669ADBDC1B61FBEAB6A3DD703F82EAD1E7A1</x:v>
      </x:c>
      <x:c r="M10" s="27" t="str">
        <x:v>PMC12491465</x:v>
      </x:c>
      <x:c r="N10" s="27" t="str">
        <x:v>Predictors of response to neoadjuvant chemo-immunotherapy in metaplastic triple-negative breast cancer</x:v>
      </x:c>
      <x:c r="O10" s="27" t="str">
        <x:v>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v>
      </x:c>
      <x:c r="P10" s="27" t="n">
        <x:v>1</x:v>
      </x:c>
      <x:c r="Q10" s="27" t="str">
        <x:v>10.1038/s41523-025-00816-w</x:v>
      </x:c>
      <x:c r="R10" s="27" t="str">
        <x:v>https://pmc.ncbi.nlm.nih.gov/articles/PMC12491465/</x:v>
      </x:c>
      <x:c r="S10" s="27" t="str">
        <x:v>https://creativecommons.org/licenses/by/4.0/</x:v>
      </x:c>
      <x:c r="T10" s="27" t="str">
        <x:v>3AF14372E644E6AC0FBB5F5E31F184E621E57D5DA3AE4BCA3F959BC4907BFF4F</x:v>
      </x:c>
      <x:c r="U10" s="27" t="str">
        <x:v>NCBI PMC OA BioC JSON; PMC12491465; section=ABSTRACT; passage_index=1, offset=103; exact raw/normalized evidence passage; URL=https://www.ncbi.nlm.nih.gov/research/bionlp/RESTful/pmcoa.cgi/PMC12491465/unicode</x:v>
      </x:c>
      <x:c r="V10" s="27" t="str">
        <x:v>待与完整 train/dev/test、调参和评测清单复核</x:v>
      </x:c>
      <x:c r="W10" s="28"/>
      <x:c r="X10" s="28"/>
      <x:c r="Y10" s="28"/>
      <x:c r="Z10" s="28"/>
      <x:c r="AA10" s="28"/>
      <x:c r="AB10" s="29"/>
      <x:c r="AC10" s="29"/>
      <x:c r="AD10" s="29"/>
      <x:c r="AE10" s="29"/>
      <x:c r="AF10" s="29"/>
      <x:c r="AG10" s="29"/>
      <x:c r="AH10" s="29"/>
      <x:c r="AI10" s="29"/>
      <x:c r="AJ10" s="30" t="str">
        <x:f>IF(COUNTA(W10:AA10)=5,"已填写","待填写")</x:f>
        <x:v>待填写</x:v>
      </x:c>
    </x:row>
    <x:row r="11" ht="842.4000244140625" hidden="0" customHeight="1">
      <x:c r="A11" s="27" t="str">
        <x:v>PMC-OA-V2-07</x:v>
      </x:c>
      <x:c r="B11" s="27" t="str">
        <x:v>natural</x:v>
      </x:c>
      <x:c r="C11" s="27" t="str">
        <x:v>待人工筛选/双人盲标</x:v>
      </x:c>
      <x:c r="D11" s="27" t="str">
        <x:v>PMC13626993</x:v>
      </x:c>
      <x:c r="E11" s="27" t="str">
        <x:v>Case Report: Triple-negative metaplastic breast carcinoma with primary resistance to neoadjuvant chemoimmunotherapy, refractory tumor necrosis-related fever, and rapid postoperative disease progression</x:v>
      </x:c>
      <x:c r="F11" s="27"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1" s="27" t="str">
        <x:v>Its underlying mechanisms are thought to involve tumor necrosis, immune-cell infiltration, and the release of endogenous pyrogenic mediators such as interleukin-1, interleukin-6, and tumor necrosis factor-α ([CITED:PMC6709302], [OTHER_CITATION]).</x:v>
      </x:c>
      <x:c r="H11" s="27" t="n">
        <x:v>19</x:v>
      </x:c>
      <x:c r="I11" s="27" t="str">
        <x:v>10.3389/fonc.2026.1943838</x:v>
      </x:c>
      <x:c r="J11" s="27" t="str">
        <x:v>https://pmc.ncbi.nlm.nih.gov/articles/PMC13626993/</x:v>
      </x:c>
      <x:c r="K11" s="27" t="str">
        <x:v>https://creativecommons.org/licenses/by/4.0/</x:v>
      </x:c>
      <x:c r="L11" s="27" t="str">
        <x:v>19F779CB197E953D2FE4292E7926669ADBDC1B61FBEAB6A3DD703F82EAD1E7A1</x:v>
      </x:c>
      <x:c r="M11" s="27" t="str">
        <x:v>PMC6709302</x:v>
      </x:c>
      <x:c r="N11" s="27" t="str">
        <x:v>Naproxen for the treatment of neoplastic fever</x:v>
      </x:c>
      <x:c r="O11" s="27"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1" s="27" t="n">
        <x:v>1</x:v>
      </x:c>
      <x:c r="Q11" s="27" t="str">
        <x:v>10.1097/MD.0000000000015840</x:v>
      </x:c>
      <x:c r="R11" s="27" t="str">
        <x:v>https://pmc.ncbi.nlm.nih.gov/articles/PMC6709302/</x:v>
      </x:c>
      <x:c r="S11" s="27" t="str">
        <x:v>http://creativecommons.org/licenses/by-nc/4.0</x:v>
      </x:c>
      <x:c r="T11" s="27" t="str">
        <x:v>3224042ADA327689A9E94BEFC3A4A9D72DC2641C16640C51742869013113759F</x:v>
      </x:c>
      <x:c r="U11" s="27" t="str">
        <x:v>NCBI PMC OA BioC JSON; PMC6709302; section=ABSTRACT; passage_index=3, offset=68; exact raw/normalized evidence passage; URL=https://www.ncbi.nlm.nih.gov/research/bionlp/RESTful/pmcoa.cgi/PMC6709302/unicode</x:v>
      </x:c>
      <x:c r="V11" s="27" t="str">
        <x:v>待与完整 train/dev/test、调参和评测清单复核</x:v>
      </x:c>
      <x:c r="W11" s="28"/>
      <x:c r="X11" s="28"/>
      <x:c r="Y11" s="28"/>
      <x:c r="Z11" s="28"/>
      <x:c r="AA11" s="28"/>
      <x:c r="AB11" s="29"/>
      <x:c r="AC11" s="29"/>
      <x:c r="AD11" s="29"/>
      <x:c r="AE11" s="29"/>
      <x:c r="AF11" s="29"/>
      <x:c r="AG11" s="29"/>
      <x:c r="AH11" s="29"/>
      <x:c r="AI11" s="29"/>
      <x:c r="AJ11" s="30" t="str">
        <x:f>IF(COUNTA(W11:AA11)=5,"已填写","待填写")</x:f>
        <x:v>待填写</x:v>
      </x:c>
    </x:row>
    <x:row r="12" ht="842.4000244140625" hidden="0" customHeight="1">
      <x:c r="A12" s="27" t="str">
        <x:v>PMC-OA-V2-08</x:v>
      </x:c>
      <x:c r="B12" s="27" t="str">
        <x:v>natural</x:v>
      </x:c>
      <x:c r="C12" s="27" t="str">
        <x:v>待人工筛选/双人盲标</x:v>
      </x:c>
      <x:c r="D12" s="27" t="str">
        <x:v>PMC13626993</x:v>
      </x:c>
      <x:c r="E12" s="27" t="str">
        <x:v>Case Report: Triple-negative metaplastic breast carcinoma with primary resistance to neoadjuvant chemoimmunotherapy, refractory tumor necrosis-related fever, and rapid postoperative disease progression</x:v>
      </x:c>
      <x:c r="F12" s="27"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2" s="27" t="str">
        <x:v>Its underlying mechanisms are thought to involve tumor necrosis, immune-cell infiltration, and the release of endogenous pyrogenic mediators such as interleukin-1, interleukin-6, and tumor necrosis factor-α ([CITED:PMC6709302], [OTHER_CITATION]).</x:v>
      </x:c>
      <x:c r="H12" s="27" t="n">
        <x:v>19</x:v>
      </x:c>
      <x:c r="I12" s="27" t="str">
        <x:v>10.3389/fonc.2026.1943838</x:v>
      </x:c>
      <x:c r="J12" s="27" t="str">
        <x:v>https://pmc.ncbi.nlm.nih.gov/articles/PMC13626993/</x:v>
      </x:c>
      <x:c r="K12" s="27" t="str">
        <x:v>https://creativecommons.org/licenses/by/4.0/</x:v>
      </x:c>
      <x:c r="L12" s="27" t="str">
        <x:v>19F779CB197E953D2FE4292E7926669ADBDC1B61FBEAB6A3DD703F82EAD1E7A1</x:v>
      </x:c>
      <x:c r="M12" s="27" t="str">
        <x:v>PMC6709302</x:v>
      </x:c>
      <x:c r="N12" s="27" t="str">
        <x:v>Naproxen for the treatment of neoplastic fever</x:v>
      </x:c>
      <x:c r="O12" s="27"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2" s="27" t="n">
        <x:v>1</x:v>
      </x:c>
      <x:c r="Q12" s="27" t="str">
        <x:v>10.1097/MD.0000000000015840</x:v>
      </x:c>
      <x:c r="R12" s="27" t="str">
        <x:v>https://pmc.ncbi.nlm.nih.gov/articles/PMC6709302/</x:v>
      </x:c>
      <x:c r="S12" s="27" t="str">
        <x:v>http://creativecommons.org/licenses/by-nc/4.0</x:v>
      </x:c>
      <x:c r="T12" s="27" t="str">
        <x:v>3224042ADA327689A9E94BEFC3A4A9D72DC2641C16640C51742869013113759F</x:v>
      </x:c>
      <x:c r="U12" s="27" t="str">
        <x:v>NCBI PMC OA BioC JSON; PMC6709302; section=ABSTRACT; passage_index=3, offset=68; exact raw/normalized evidence passage; URL=https://www.ncbi.nlm.nih.gov/research/bionlp/RESTful/pmcoa.cgi/PMC6709302/unicode</x:v>
      </x:c>
      <x:c r="V12" s="27" t="str">
        <x:v>待与完整 train/dev/test、调参和评测清单复核</x:v>
      </x:c>
      <x:c r="W12" s="28"/>
      <x:c r="X12" s="28"/>
      <x:c r="Y12" s="28"/>
      <x:c r="Z12" s="28"/>
      <x:c r="AA12" s="28"/>
      <x:c r="AB12" s="29"/>
      <x:c r="AC12" s="29"/>
      <x:c r="AD12" s="29"/>
      <x:c r="AE12" s="29"/>
      <x:c r="AF12" s="29"/>
      <x:c r="AG12" s="29"/>
      <x:c r="AH12" s="29"/>
      <x:c r="AI12" s="29"/>
      <x:c r="AJ12" s="30" t="str">
        <x:f>IF(COUNTA(W12:AA12)=5,"已填写","待填写")</x:f>
        <x:v>待填写</x:v>
      </x:c>
    </x:row>
    <x:row r="13" ht="1695.5999755859375" hidden="0" customHeight="1">
      <x:c r="A13" s="27" t="str">
        <x:v>PMC-OA-V2-09</x:v>
      </x:c>
      <x:c r="B13" s="27" t="str">
        <x:v>natural</x:v>
      </x:c>
      <x:c r="C13" s="27" t="str">
        <x:v>待人工筛选/双人盲标</x:v>
      </x:c>
      <x:c r="D13" s="27" t="str">
        <x:v>PMC13626999</x:v>
      </x:c>
      <x:c r="E13" s="27" t="str">
        <x:v>Consumer choice and preference heterogeneity for liquid milk attributes in Sri Lanka: evidence from a choice experiment</x:v>
      </x:c>
      <x:c r="F13" s="27" t="str">
        <x:v>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3" s="27" t="str">
        <x:v>The COVID-19 pandemic, followed by a severe economic crisis, has negatively affected the nutritional status of people in Sri Lanka ([CITED:PMC11984007]).</x:v>
      </x:c>
      <x:c r="H13" s="27" t="n">
        <x:v>2</x:v>
      </x:c>
      <x:c r="I13" s="27" t="str">
        <x:v>10.3389/fnut.2026.1931191</x:v>
      </x:c>
      <x:c r="J13" s="27" t="str">
        <x:v>https://pmc.ncbi.nlm.nih.gov/articles/PMC13626999/</x:v>
      </x:c>
      <x:c r="K13" s="27" t="str">
        <x:v>https://creativecommons.org/licenses/by/4.0/</x:v>
      </x:c>
      <x:c r="L13" s="27" t="str">
        <x:v>E172465602D150C2CF0035AD2BD9EC7D6B05CA810285E157E39587C2CFF256D9</x:v>
      </x:c>
      <x:c r="M13" s="27" t="str">
        <x:v>PMC11984007</x:v>
      </x:c>
      <x:c r="N13" s="27" t="str">
        <x:v>Dietary intake and micronutrient adequacy among adults engaged in agriculture in rural Sri Lanka: findings from a cross-sectional baseline survey</x:v>
      </x:c>
      <x:c r="O13" s="27" t="str">
        <x:v>To characterise food group consumption, assess the contribution of food groups to energy and micronutrient intake, and estimate usual nutrient intake among adults in rural Sri Lanka.</x:v>
      </x:c>
      <x:c r="P13" s="27" t="n">
        <x:v>1</x:v>
      </x:c>
      <x:c r="Q13" s="27" t="str">
        <x:v>10.1017/S1368980025000072</x:v>
      </x:c>
      <x:c r="R13" s="27" t="str">
        <x:v>https://pmc.ncbi.nlm.nih.gov/articles/PMC11984007/</x:v>
      </x:c>
      <x:c r="S13" s="27" t="str">
        <x:v>https://creativecommons.org/licenses/by/4.0/</x:v>
      </x:c>
      <x:c r="T13" s="27" t="str">
        <x:v>02088182D21EF32005CD48721432372EA163EC933A4F192BD96816F8170224BC</x:v>
      </x:c>
      <x:c r="U13" s="27" t="str">
        <x:v>NCBI PMC OA BioC JSON; PMC11984007; section=ABSTRACT; passage_index=2, offset=157; exact raw/normalized evidence passage; URL=https://www.ncbi.nlm.nih.gov/research/bionlp/RESTful/pmcoa.cgi/PMC11984007/unicode</x:v>
      </x:c>
      <x:c r="V13" s="27" t="str">
        <x:v>待与完整 train/dev/test、调参和评测清单复核</x:v>
      </x:c>
      <x:c r="W13" s="28"/>
      <x:c r="X13" s="28"/>
      <x:c r="Y13" s="28"/>
      <x:c r="Z13" s="28"/>
      <x:c r="AA13" s="28"/>
      <x:c r="AB13" s="29"/>
      <x:c r="AC13" s="29"/>
      <x:c r="AD13" s="29"/>
      <x:c r="AE13" s="29"/>
      <x:c r="AF13" s="29"/>
      <x:c r="AG13" s="29"/>
      <x:c r="AH13" s="29"/>
      <x:c r="AI13" s="29"/>
      <x:c r="AJ13" s="30" t="str">
        <x:f>IF(COUNTA(W13:AA13)=5,"已填写","待填写")</x:f>
        <x:v>待填写</x:v>
      </x:c>
    </x:row>
    <x:row r="14" ht="2721.60009765625" hidden="0" customHeight="1">
      <x:c r="A14" s="27" t="str">
        <x:v>PMC-OA-V2-10</x:v>
      </x:c>
      <x:c r="B14" s="27" t="str">
        <x:v>natural</x:v>
      </x:c>
      <x:c r="C14" s="27" t="str">
        <x:v>待人工筛选/双人盲标</x:v>
      </x:c>
      <x:c r="D14" s="27" t="str">
        <x:v>PMC13626999</x:v>
      </x:c>
      <x:c r="E14" s="27" t="str">
        <x:v>Consumer choice and preference heterogeneity for liquid milk attributes in Sri Lanka: evidence from a choice experiment</x:v>
      </x:c>
      <x:c r="F14" s="27"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4" s="27" t="str">
        <x:v>([CITED:PMC7696452]), micronutrient malnutrition poses a serious threat to public health in Sri Lanka.</x:v>
      </x:c>
      <x:c r="H14" s="27" t="n">
        <x:v>2</x:v>
      </x:c>
      <x:c r="I14" s="27" t="str">
        <x:v>10.3389/fnut.2026.1931191</x:v>
      </x:c>
      <x:c r="J14" s="27" t="str">
        <x:v>https://pmc.ncbi.nlm.nih.gov/articles/PMC13626999/</x:v>
      </x:c>
      <x:c r="K14" s="27" t="str">
        <x:v>https://creativecommons.org/licenses/by/4.0/</x:v>
      </x:c>
      <x:c r="L14" s="27" t="str">
        <x:v>E172465602D150C2CF0035AD2BD9EC7D6B05CA810285E157E39587C2CFF256D9</x:v>
      </x:c>
      <x:c r="M14" s="27" t="str">
        <x:v>PMC7696452</x:v>
      </x:c>
      <x:c r="N14" s="27" t="str">
        <x:v>Understanding Dietary Diversity, Dietary Practices and Changes in Food Patterns in Marginalised Societies in Sri Lanka</x:v>
      </x:c>
      <x:c r="O14" s="27" t="str">
        <x:v>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v>
      </x:c>
      <x:c r="P14" s="27" t="n">
        <x:v>1</x:v>
      </x:c>
      <x:c r="Q14" s="27" t="str">
        <x:v>10.3390/foods9111659</x:v>
      </x:c>
      <x:c r="R14" s="27" t="str">
        <x:v>https://pmc.ncbi.nlm.nih.gov/articles/PMC7696452/</x:v>
      </x:c>
      <x:c r="S14" s="27" t="str">
        <x:v>https://creativecommons.org/licenses/by/4.0/</x:v>
      </x:c>
      <x:c r="T14" s="27" t="str">
        <x:v>86362B03404A617A45191ED3CC8667D7573FABDD3CA1EBA95DA2BCF7D5421ACE</x:v>
      </x:c>
      <x:c r="U14" s="27" t="str">
        <x:v>NCBI PMC OA BioC JSON; PMC7696452; section=ABSTRACT; passage_index=1, offset=119; exact raw/normalized evidence passage; URL=https://www.ncbi.nlm.nih.gov/research/bionlp/RESTful/pmcoa.cgi/PMC7696452/unicode</x:v>
      </x:c>
      <x:c r="V14" s="27" t="str">
        <x:v>待与完整 train/dev/test、调参和评测清单复核</x:v>
      </x:c>
      <x:c r="W14" s="28"/>
      <x:c r="X14" s="28"/>
      <x:c r="Y14" s="28"/>
      <x:c r="Z14" s="28"/>
      <x:c r="AA14" s="28"/>
      <x:c r="AB14" s="29"/>
      <x:c r="AC14" s="29"/>
      <x:c r="AD14" s="29"/>
      <x:c r="AE14" s="29"/>
      <x:c r="AF14" s="29"/>
      <x:c r="AG14" s="29"/>
      <x:c r="AH14" s="29"/>
      <x:c r="AI14" s="29"/>
      <x:c r="AJ14" s="30" t="str">
        <x:f>IF(COUNTA(W14:AA14)=5,"已填写","待填写")</x:f>
        <x:v>待填写</x:v>
      </x:c>
    </x:row>
    <x:row r="15" ht="1695.5999755859375" hidden="0" customHeight="1">
      <x:c r="A15" s="27" t="str">
        <x:v>PMC-OA-V2-11</x:v>
      </x:c>
      <x:c r="B15" s="27" t="str">
        <x:v>natural</x:v>
      </x:c>
      <x:c r="C15" s="27" t="str">
        <x:v>待人工筛选/双人盲标</x:v>
      </x:c>
      <x:c r="D15" s="27" t="str">
        <x:v>PMC13626999</x:v>
      </x:c>
      <x:c r="E15" s="27" t="str">
        <x:v>Consumer choice and preference heterogeneity for liquid milk attributes in Sri Lanka: evidence from a choice experiment</x:v>
      </x:c>
      <x:c r="F15" s="27"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5" s="27" t="str">
        <x:v>Milk provides essential nutrients ([CITED:PMC8793832]) and plays a vital role in supporting growth, health, and overall nutritional wellbeing ([OTHER_CITATION]).</x:v>
      </x:c>
      <x:c r="H15" s="27" t="n">
        <x:v>2</x:v>
      </x:c>
      <x:c r="I15" s="27" t="str">
        <x:v>10.3389/fnut.2026.1931191</x:v>
      </x:c>
      <x:c r="J15" s="27" t="str">
        <x:v>https://pmc.ncbi.nlm.nih.gov/articles/PMC13626999/</x:v>
      </x:c>
      <x:c r="K15" s="27" t="str">
        <x:v>https://creativecommons.org/licenses/by/4.0/</x:v>
      </x:c>
      <x:c r="L15" s="27" t="str">
        <x:v>E172465602D150C2CF0035AD2BD9EC7D6B05CA810285E157E39587C2CFF256D9</x:v>
      </x:c>
      <x:c r="M15" s="27" t="str">
        <x:v>PMC8793832</x:v>
      </x:c>
      <x:c r="N15" s="27" t="str">
        <x:v>Modeling the Contribution of Milk to Global Nutrition</x:v>
      </x:c>
      <x:c r="O15" s="27" t="str">
        <x:v>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v>
      </x:c>
      <x:c r="P15" s="27" t="n">
        <x:v>1</x:v>
      </x:c>
      <x:c r="Q15" s="27" t="str">
        <x:v>10.3389/fnut.2021.716100</x:v>
      </x:c>
      <x:c r="R15" s="27" t="str">
        <x:v>https://pmc.ncbi.nlm.nih.gov/articles/PMC8793832/</x:v>
      </x:c>
      <x:c r="S15" s="27" t="str">
        <x:v>https://creativecommons.org/licenses/by/4.0/</x:v>
      </x:c>
      <x:c r="T15" s="27" t="str">
        <x:v>258F4875A40BC81DB5857056953F6246BF9162533993E7F50B93447314D14429</x:v>
      </x:c>
      <x:c r="U15" s="27" t="str">
        <x:v>NCBI PMC OA BioC JSON; PMC8793832; section=ABSTRACT; passage_index=1, offset=54; exact raw/normalized evidence passage; URL=https://www.ncbi.nlm.nih.gov/research/bionlp/RESTful/pmcoa.cgi/PMC8793832/unicode</x:v>
      </x:c>
      <x:c r="V15" s="27" t="str">
        <x:v>待与完整 train/dev/test、调参和评测清单复核</x:v>
      </x:c>
      <x:c r="W15" s="28"/>
      <x:c r="X15" s="28"/>
      <x:c r="Y15" s="28"/>
      <x:c r="Z15" s="28"/>
      <x:c r="AA15" s="28"/>
      <x:c r="AB15" s="29"/>
      <x:c r="AC15" s="29"/>
      <x:c r="AD15" s="29"/>
      <x:c r="AE15" s="29"/>
      <x:c r="AF15" s="29"/>
      <x:c r="AG15" s="29"/>
      <x:c r="AH15" s="29"/>
      <x:c r="AI15" s="29"/>
      <x:c r="AJ15" s="30" t="str">
        <x:f>IF(COUNTA(W15:AA15)=5,"已填写","待填写")</x:f>
        <x:v>待填写</x:v>
      </x:c>
    </x:row>
    <x:row r="16" ht="1101.5999755859375" hidden="0" customHeight="1">
      <x:c r="A16" s="27" t="str">
        <x:v>PMC-OA-V2-12</x:v>
      </x:c>
      <x:c r="B16" s="27" t="str">
        <x:v>natural</x:v>
      </x:c>
      <x:c r="C16" s="27" t="str">
        <x:v>待人工筛选/双人盲标</x:v>
      </x:c>
      <x:c r="D16" s="27" t="str">
        <x:v>PMC13626999</x:v>
      </x:c>
      <x:c r="E16" s="27" t="str">
        <x:v>Consumer choice and preference heterogeneity for liquid milk attributes in Sri Lanka: evidence from a choice experiment</x:v>
      </x:c>
      <x:c r="F16" s="27" t="str">
        <x:v>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v>
      </x:c>
      <x:c r="G16" s="27" t="str">
        <x:v>Among the milk attributes, consumers’ preferences for milk fat content have been widely investigated by several researchers ([CITED:PMC6982324]–[OTHER_CITATION]).</x:v>
      </x:c>
      <x:c r="H16" s="27" t="n">
        <x:v>6</x:v>
      </x:c>
      <x:c r="I16" s="27" t="str">
        <x:v>10.3389/fnut.2026.1931191</x:v>
      </x:c>
      <x:c r="J16" s="27" t="str">
        <x:v>https://pmc.ncbi.nlm.nih.gov/articles/PMC13626999/</x:v>
      </x:c>
      <x:c r="K16" s="27" t="str">
        <x:v>https://creativecommons.org/licenses/by/4.0/</x:v>
      </x:c>
      <x:c r="L16" s="27" t="str">
        <x:v>E172465602D150C2CF0035AD2BD9EC7D6B05CA810285E157E39587C2CFF256D9</x:v>
      </x:c>
      <x:c r="M16" s="27" t="str">
        <x:v>PMC6982324</x:v>
      </x:c>
      <x:c r="N16" s="27" t="str">
        <x:v>Consumers’ Willingness to Pay for Imported Milk: Based on Shanghai, China</x:v>
      </x:c>
      <x:c r="O16" s="27"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6" s="27" t="n">
        <x:v>1</x:v>
      </x:c>
      <x:c r="Q16" s="27" t="str">
        <x:v>10.3390/ijerph17010244</x:v>
      </x:c>
      <x:c r="R16" s="27" t="str">
        <x:v>https://pmc.ncbi.nlm.nih.gov/articles/PMC6982324/</x:v>
      </x:c>
      <x:c r="S16" s="27" t="str">
        <x:v>https://creativecommons.org/licenses/by/4.0/</x:v>
      </x:c>
      <x:c r="T16" s="27" t="str">
        <x:v>02BFF1BDD73534318E0FBC35D136525253C15F8EF1AEE51702AF01FED1BA5DD8</x:v>
      </x:c>
      <x:c r="U16" s="27" t="str">
        <x:v>NCBI PMC OA BioC JSON; PMC6982324; section=ABSTRACT; passage_index=1, offset=76; exact raw/normalized evidence passage; URL=https://www.ncbi.nlm.nih.gov/research/bionlp/RESTful/pmcoa.cgi/PMC6982324/unicode</x:v>
      </x:c>
      <x:c r="V16" s="27" t="str">
        <x:v>待与完整 train/dev/test、调参和评测清单复核</x:v>
      </x:c>
      <x:c r="W16" s="28"/>
      <x:c r="X16" s="28"/>
      <x:c r="Y16" s="28"/>
      <x:c r="Z16" s="28"/>
      <x:c r="AA16" s="28"/>
      <x:c r="AB16" s="29"/>
      <x:c r="AC16" s="29"/>
      <x:c r="AD16" s="29"/>
      <x:c r="AE16" s="29"/>
      <x:c r="AF16" s="29"/>
      <x:c r="AG16" s="29"/>
      <x:c r="AH16" s="29"/>
      <x:c r="AI16" s="29"/>
      <x:c r="AJ16" s="30" t="str">
        <x:f>IF(COUNTA(W16:AA16)=5,"已填写","待填写")</x:f>
        <x:v>待填写</x:v>
      </x:c>
    </x:row>
    <x:row r="17" ht="1101.5999755859375" hidden="0" customHeight="1">
      <x:c r="A17" s="27" t="str">
        <x:v>PMC-OA-V2-13</x:v>
      </x:c>
      <x:c r="B17" s="27" t="str">
        <x:v>natural</x:v>
      </x:c>
      <x:c r="C17" s="27" t="str">
        <x:v>待人工筛选/双人盲标</x:v>
      </x:c>
      <x:c r="D17" s="27" t="str">
        <x:v>PMC13626999</x:v>
      </x:c>
      <x:c r="E17" s="27" t="str">
        <x:v>Consumer choice and preference heterogeneity for liquid milk attributes in Sri Lanka: evidence from a choice experiment</x:v>
      </x:c>
      <x:c r="F17" s="27" t="str">
        <x:v>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v>
      </x:c>
      <x:c r="G17" s="27" t="str">
        <x:v>([CITED:PMC6982324]) found that Chinese consumers preferred milk fortified with a combination of iron (Fe), calcium (Ca), zinc (Zn), and vitamin D over milk containing only vitamins A and D.</x:v>
      </x:c>
      <x:c r="H17" s="27" t="n">
        <x:v>7</x:v>
      </x:c>
      <x:c r="I17" s="27" t="str">
        <x:v>10.3389/fnut.2026.1931191</x:v>
      </x:c>
      <x:c r="J17" s="27" t="str">
        <x:v>https://pmc.ncbi.nlm.nih.gov/articles/PMC13626999/</x:v>
      </x:c>
      <x:c r="K17" s="27" t="str">
        <x:v>https://creativecommons.org/licenses/by/4.0/</x:v>
      </x:c>
      <x:c r="L17" s="27" t="str">
        <x:v>E172465602D150C2CF0035AD2BD9EC7D6B05CA810285E157E39587C2CFF256D9</x:v>
      </x:c>
      <x:c r="M17" s="27" t="str">
        <x:v>PMC6982324</x:v>
      </x:c>
      <x:c r="N17" s="27" t="str">
        <x:v>Consumers’ Willingness to Pay for Imported Milk: Based on Shanghai, China</x:v>
      </x:c>
      <x:c r="O17" s="27"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7" s="27" t="n">
        <x:v>1</x:v>
      </x:c>
      <x:c r="Q17" s="27" t="str">
        <x:v>10.3390/ijerph17010244</x:v>
      </x:c>
      <x:c r="R17" s="27" t="str">
        <x:v>https://pmc.ncbi.nlm.nih.gov/articles/PMC6982324/</x:v>
      </x:c>
      <x:c r="S17" s="27" t="str">
        <x:v>https://creativecommons.org/licenses/by/4.0/</x:v>
      </x:c>
      <x:c r="T17" s="27" t="str">
        <x:v>02BFF1BDD73534318E0FBC35D136525253C15F8EF1AEE51702AF01FED1BA5DD8</x:v>
      </x:c>
      <x:c r="U17" s="27" t="str">
        <x:v>NCBI PMC OA BioC JSON; PMC6982324; section=ABSTRACT; passage_index=1, offset=76; exact raw/normalized evidence passage; URL=https://www.ncbi.nlm.nih.gov/research/bionlp/RESTful/pmcoa.cgi/PMC6982324/unicode</x:v>
      </x:c>
      <x:c r="V17" s="27" t="str">
        <x:v>待与完整 train/dev/test、调参和评测清单复核</x:v>
      </x:c>
      <x:c r="W17" s="28"/>
      <x:c r="X17" s="28"/>
      <x:c r="Y17" s="28"/>
      <x:c r="Z17" s="28"/>
      <x:c r="AA17" s="28"/>
      <x:c r="AB17" s="29"/>
      <x:c r="AC17" s="29"/>
      <x:c r="AD17" s="29"/>
      <x:c r="AE17" s="29"/>
      <x:c r="AF17" s="29"/>
      <x:c r="AG17" s="29"/>
      <x:c r="AH17" s="29"/>
      <x:c r="AI17" s="29"/>
      <x:c r="AJ17" s="30" t="str">
        <x:f>IF(COUNTA(W17:AA17)=5,"已填写","待填写")</x:f>
        <x:v>待填写</x:v>
      </x:c>
    </x:row>
    <x:row r="18" ht="1933.199951171875" hidden="0" customHeight="1">
      <x:c r="A18" s="27" t="str">
        <x:v>PMC-OA-V2-14</x:v>
      </x:c>
      <x:c r="B18" s="27" t="str">
        <x:v>natural</x:v>
      </x:c>
      <x:c r="C18" s="27" t="str">
        <x:v>待人工筛选/双人盲标</x:v>
      </x:c>
      <x:c r="D18" s="27" t="str">
        <x:v>PMC13626989</x:v>
      </x:c>
      <x:c r="E18" s="27" t="str">
        <x:v>Effects of caffeine supplementation on post-exercise recovery: a systematic review and three-level meta-analysis of perceptual, functional performance, physiological, and sleep outcomes</x:v>
      </x:c>
      <x:c r="F18" s="27" t="str">
        <x:v>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v>
      </x:c>
      <x:c r="G18" s="27" t="str">
        <x:v>This is particularly important for athletes facing short recovery intervals or repeated competition demands ([OTHER_CITATION]; [CITED:PMC12297025]).</x:v>
      </x:c>
      <x:c r="H18" s="27" t="n">
        <x:v>6</x:v>
      </x:c>
      <x:c r="I18" s="27" t="str">
        <x:v>10.3389/fphys.2026.1960237</x:v>
      </x:c>
      <x:c r="J18" s="27" t="str">
        <x:v>https://pmc.ncbi.nlm.nih.gov/articles/PMC13626989/</x:v>
      </x:c>
      <x:c r="K18" s="27" t="str">
        <x:v>https://creativecommons.org/licenses/by/4.0/</x:v>
      </x:c>
      <x:c r="L18" s="27" t="str">
        <x:v>5E871A8A6A549C1C49443CDA88D089134051C79F73D94CAC1B07F7999D79E25F</x:v>
      </x:c>
      <x:c r="M18" s="27" t="str">
        <x:v>PMC12297025</x:v>
      </x:c>
      <x:c r="N18" s="27" t="str">
        <x:v>Nutritional Strategies to Improve Post-exercise Recovery and Subsequent Exercise Performance: A Narrative Review</x:v>
      </x:c>
      <x:c r="O18" s="27" t="str">
        <x:v>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v>
      </x:c>
      <x:c r="P18" s="27" t="n">
        <x:v>1</x:v>
      </x:c>
      <x:c r="Q18" s="27" t="str">
        <x:v>10.1007/s40279-025-02213-6</x:v>
      </x:c>
      <x:c r="R18" s="27" t="str">
        <x:v>https://pmc.ncbi.nlm.nih.gov/articles/PMC12297025/</x:v>
      </x:c>
      <x:c r="S18" s="27" t="str">
        <x:v>https://creativecommons.org/licenses/by/4.0/</x:v>
      </x:c>
      <x:c r="T18" s="27" t="str">
        <x:v>5FD3C8C7F06D6D14BD2C49669280BEBA191003E7ED69DC6E19D3758CA173A565</x:v>
      </x:c>
      <x:c r="U18" s="27" t="str">
        <x:v>NCBI PMC OA BioC JSON; PMC12297025; section=ABSTRACT; passage_index=1, offset=113; exact raw/normalized evidence passage; URL=https://www.ncbi.nlm.nih.gov/research/bionlp/RESTful/pmcoa.cgi/PMC12297025/unicode</x:v>
      </x:c>
      <x:c r="V18" s="27" t="str">
        <x:v>待与完整 train/dev/test、调参和评测清单复核</x:v>
      </x:c>
      <x:c r="W18" s="28"/>
      <x:c r="X18" s="28"/>
      <x:c r="Y18" s="28"/>
      <x:c r="Z18" s="28"/>
      <x:c r="AA18" s="28"/>
      <x:c r="AB18" s="29"/>
      <x:c r="AC18" s="29"/>
      <x:c r="AD18" s="29"/>
      <x:c r="AE18" s="29"/>
      <x:c r="AF18" s="29"/>
      <x:c r="AG18" s="29"/>
      <x:c r="AH18" s="29"/>
      <x:c r="AI18" s="29"/>
      <x:c r="AJ18" s="30" t="str">
        <x:f>IF(COUNTA(W18:AA18)=5,"已填写","待填写")</x:f>
        <x:v>待填写</x:v>
      </x:c>
    </x:row>
    <x:row r="19" ht="680.4000244140625" hidden="0" customHeight="1">
      <x:c r="A19" s="27" t="str">
        <x:v>PMC-OA-V2-15</x:v>
      </x:c>
      <x:c r="B19" s="27" t="str">
        <x:v>natural</x:v>
      </x:c>
      <x:c r="C19" s="27" t="str">
        <x:v>待人工筛选/双人盲标</x:v>
      </x:c>
      <x:c r="D19" s="27" t="str">
        <x:v>PMC13626989</x:v>
      </x:c>
      <x:c r="E19" s="27" t="str">
        <x:v>Effects of caffeine supplementation on post-exercise recovery: a systematic review and three-level meta-analysis of perceptual, functional performance, physiological, and sleep outcomes</x:v>
      </x:c>
      <x:c r="F19" s="27" t="str">
        <x:v>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19" s="27" t="str">
        <x:v>Caffeine is one of the most widely used nutritional supplements among physically active individuals and is well established as an acute ergogenic aid, with 3–6 mg/kg body mass being the most commonly investigated effective dose range ([CITED:PMC5839013]; [OTHER_CITATION]).</x:v>
      </x:c>
      <x:c r="H19" s="27" t="n">
        <x:v>7</x:v>
      </x:c>
      <x:c r="I19" s="27" t="str">
        <x:v>10.3389/fphys.2026.1960237</x:v>
      </x:c>
      <x:c r="J19" s="27" t="str">
        <x:v>https://pmc.ncbi.nlm.nih.gov/articles/PMC13626989/</x:v>
      </x:c>
      <x:c r="K19" s="27" t="str">
        <x:v>https://creativecommons.org/licenses/by/4.0/</x:v>
      </x:c>
      <x:c r="L19" s="27" t="str">
        <x:v>5E871A8A6A549C1C49443CDA88D089134051C79F73D94CAC1B07F7999D79E25F</x:v>
      </x:c>
      <x:c r="M19" s="27" t="str">
        <x:v>PMC5839013</x:v>
      </x:c>
      <x:c r="N19" s="27" t="str">
        <x:v>Effects of caffeine intake on muscle strength and power: a systematic review and meta-analysis</x:v>
      </x:c>
      <x:c r="O19" s="27" t="str">
        <x:v>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v>
      </x:c>
      <x:c r="P19" s="27" t="n">
        <x:v>1</x:v>
      </x:c>
      <x:c r="Q19" s="27" t="str">
        <x:v>10.1186/s12970-018-0216-0</x:v>
      </x:c>
      <x:c r="R19" s="27" t="str">
        <x:v>https://pmc.ncbi.nlm.nih.gov/articles/PMC5839013/</x:v>
      </x:c>
      <x:c r="S19" s="27" t="str">
        <x:v>https://creativecommons.org/licenses/by/4.0/</x:v>
      </x:c>
      <x:c r="T19" s="27" t="str">
        <x:v>E15FEB3B9C1F214896A9C03EC34708809F3C157C9AACC721973DB4D296BC0BEE</x:v>
      </x:c>
      <x:c r="U19" s="27" t="str">
        <x:v>NCBI PMC OA BioC JSON; PMC5839013; section=ABSTRACT; passage_index=2, offset=106; exact raw/normalized evidence passage; URL=https://www.ncbi.nlm.nih.gov/research/bionlp/RESTful/pmcoa.cgi/PMC5839013/unicode</x:v>
      </x:c>
      <x:c r="V19" s="27" t="str">
        <x:v>待与完整 train/dev/test、调参和评测清单复核</x:v>
      </x:c>
      <x:c r="W19" s="28"/>
      <x:c r="X19" s="28"/>
      <x:c r="Y19" s="28"/>
      <x:c r="Z19" s="28"/>
      <x:c r="AA19" s="28"/>
      <x:c r="AB19" s="29"/>
      <x:c r="AC19" s="29"/>
      <x:c r="AD19" s="29"/>
      <x:c r="AE19" s="29"/>
      <x:c r="AF19" s="29"/>
      <x:c r="AG19" s="29"/>
      <x:c r="AH19" s="29"/>
      <x:c r="AI19" s="29"/>
      <x:c r="AJ19" s="30" t="str">
        <x:f>IF(COUNTA(W19:AA19)=5,"已填写","待填写")</x:f>
        <x:v>待填写</x:v>
      </x:c>
    </x:row>
    <x:row r="20" ht="680.4000244140625" hidden="0" customHeight="1">
      <x:c r="A20" s="27" t="str">
        <x:v>PMC-OA-V2-16</x:v>
      </x:c>
      <x:c r="B20" s="27" t="str">
        <x:v>natural</x:v>
      </x:c>
      <x:c r="C20" s="27" t="str">
        <x:v>待人工筛选/双人盲标</x:v>
      </x:c>
      <x:c r="D20" s="27" t="str">
        <x:v>PMC13626989</x:v>
      </x:c>
      <x:c r="E20" s="27" t="str">
        <x:v>Effects of caffeine supplementation on post-exercise recovery: a systematic review and three-level meta-analysis of perceptual, functional performance, physiological, and sleep outcomes</x:v>
      </x:c>
      <x:c r="F20" s="27" t="str">
        <x:v>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20" s="27" t="str">
        <x:v>Caffeine is one of the most widely used nutritional supplements among physically active individuals and is well established as an acute ergogenic aid, with 3–6 mg/kg body mass being the most commonly investigated effective dose range ([OTHER_CITATION]; [CITED:PMC7777221]).</x:v>
      </x:c>
      <x:c r="H20" s="27" t="n">
        <x:v>7</x:v>
      </x:c>
      <x:c r="I20" s="27" t="str">
        <x:v>10.3389/fphys.2026.1960237</x:v>
      </x:c>
      <x:c r="J20" s="27" t="str">
        <x:v>https://pmc.ncbi.nlm.nih.gov/articles/PMC13626989/</x:v>
      </x:c>
      <x:c r="K20" s="27" t="str">
        <x:v>https://creativecommons.org/licenses/by/4.0/</x:v>
      </x:c>
      <x:c r="L20" s="27" t="str">
        <x:v>5E871A8A6A549C1C49443CDA88D089134051C79F73D94CAC1B07F7999D79E25F</x:v>
      </x:c>
      <x:c r="M20" s="27" t="str">
        <x:v>PMC7777221</x:v>
      </x:c>
      <x:c r="N20" s="27" t="str">
        <x:v>International society of sports nutrition position stand: caffeine and exercise performance</x:v>
      </x:c>
      <x:c r="O20" s="27" t="str">
        <x:v>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v>
      </x:c>
      <x:c r="P20" s="27" t="n">
        <x:v>1</x:v>
      </x:c>
      <x:c r="Q20" s="27" t="str">
        <x:v>10.1186/s12970-020-00383-4</x:v>
      </x:c>
      <x:c r="R20" s="27" t="str">
        <x:v>https://pmc.ncbi.nlm.nih.gov/articles/PMC7777221/</x:v>
      </x:c>
      <x:c r="S20" s="27" t="str">
        <x:v>https://creativecommons.org/licenses/by/4.0/</x:v>
      </x:c>
      <x:c r="T20" s="27" t="str">
        <x:v>21248D3DC1A802C26BD8409E281DE36313F756E9066F5995390A3BDDB668759D</x:v>
      </x:c>
      <x:c r="U20" s="27" t="str">
        <x:v>NCBI PMC OA BioC JSON; PMC7777221; section=ABSTRACT; passage_index=1, offset=92; passage_index=12, offset=2572; normalized evidence span (source punctuation/spacing differs); URL=https://www.ncbi.nlm.nih.gov/research/bionlp/RESTful/pmcoa.cgi/PMC7777221/unicode</x:v>
      </x:c>
      <x:c r="V20" s="27" t="str">
        <x:v>待与完整 train/dev/test、调参和评测清单复核</x:v>
      </x:c>
      <x:c r="W20" s="28"/>
      <x:c r="X20" s="28"/>
      <x:c r="Y20" s="28"/>
      <x:c r="Z20" s="28"/>
      <x:c r="AA20" s="28"/>
      <x:c r="AB20" s="29"/>
      <x:c r="AC20" s="29"/>
      <x:c r="AD20" s="29"/>
      <x:c r="AE20" s="29"/>
      <x:c r="AF20" s="29"/>
      <x:c r="AG20" s="29"/>
      <x:c r="AH20" s="29"/>
      <x:c r="AI20" s="29"/>
      <x:c r="AJ20" s="30" t="str">
        <x:f>IF(COUNTA(W20:AA20)=5,"已填写","待填写")</x:f>
        <x:v>待填写</x:v>
      </x:c>
    </x:row>
    <x:row r="21" ht="1890" hidden="0" customHeight="1">
      <x:c r="A21" s="27" t="str">
        <x:v>PMC-OA-V2-17</x:v>
      </x:c>
      <x:c r="B21" s="27" t="str">
        <x:v>natural</x:v>
      </x:c>
      <x:c r="C21" s="27" t="str">
        <x:v>待人工筛选/双人盲标</x:v>
      </x:c>
      <x:c r="D21" s="27" t="str">
        <x:v>PMC13626989</x:v>
      </x:c>
      <x:c r="E21" s="27" t="str">
        <x:v>Effects of caffeine supplementation on post-exercise recovery: a systematic review and three-level meta-analysis of perceptual, functional performance, physiological, and sleep outcomes</x:v>
      </x:c>
      <x:c r="F21" s="27"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1" s="27"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1" s="27" t="n">
        <x:v>8</x:v>
      </x:c>
      <x:c r="I21" s="27" t="str">
        <x:v>10.3389/fphys.2026.1960237</x:v>
      </x:c>
      <x:c r="J21" s="27" t="str">
        <x:v>https://pmc.ncbi.nlm.nih.gov/articles/PMC13626989/</x:v>
      </x:c>
      <x:c r="K21" s="27" t="str">
        <x:v>https://creativecommons.org/licenses/by/4.0/</x:v>
      </x:c>
      <x:c r="L21" s="27" t="str">
        <x:v>5E871A8A6A549C1C49443CDA88D089134051C79F73D94CAC1B07F7999D79E25F</x:v>
      </x:c>
      <x:c r="M21" s="27" t="str">
        <x:v>PMC9099525</x:v>
      </x:c>
      <x:c r="N21" s="27" t="str">
        <x:v>Effect of Caffeine Ingestion on Indirect Markers of Exercise-Induced Muscle Damage: A Systematic Review of Human Trials</x:v>
      </x:c>
      <x:c r="O21" s="27"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1" s="27" t="n">
        <x:v>1</x:v>
      </x:c>
      <x:c r="Q21" s="27" t="str">
        <x:v>10.3390/nu14091769</x:v>
      </x:c>
      <x:c r="R21" s="27" t="str">
        <x:v>https://pmc.ncbi.nlm.nih.gov/articles/PMC9099525/</x:v>
      </x:c>
      <x:c r="S21" s="27" t="str">
        <x:v>https://creativecommons.org/licenses/by/4.0/</x:v>
      </x:c>
      <x:c r="T21" s="27" t="str">
        <x:v>0D9956900CF18BD2E3A5989ADEDCB64DF8CA6072F835E69E1CC76C498841B489</x:v>
      </x:c>
      <x:c r="U21" s="27" t="str">
        <x:v>NCBI PMC OA BioC JSON; PMC9099525; section=ABSTRACT; passage_index=1, offset=120; exact raw/normalized evidence passage; URL=https://www.ncbi.nlm.nih.gov/research/bionlp/RESTful/pmcoa.cgi/PMC9099525/unicode</x:v>
      </x:c>
      <x:c r="V21" s="27" t="str">
        <x:v>待与完整 train/dev/test、调参和评测清单复核</x:v>
      </x:c>
      <x:c r="W21" s="28"/>
      <x:c r="X21" s="28"/>
      <x:c r="Y21" s="28"/>
      <x:c r="Z21" s="28"/>
      <x:c r="AA21" s="28"/>
      <x:c r="AB21" s="29"/>
      <x:c r="AC21" s="29"/>
      <x:c r="AD21" s="29"/>
      <x:c r="AE21" s="29"/>
      <x:c r="AF21" s="29"/>
      <x:c r="AG21" s="29"/>
      <x:c r="AH21" s="29"/>
      <x:c r="AI21" s="29"/>
      <x:c r="AJ21" s="30" t="str">
        <x:f>IF(COUNTA(W21:AA21)=5,"已填写","待填写")</x:f>
        <x:v>待填写</x:v>
      </x:c>
    </x:row>
    <x:row r="22" ht="1890" hidden="0" customHeight="1">
      <x:c r="A22" s="27" t="str">
        <x:v>PMC-OA-V2-18</x:v>
      </x:c>
      <x:c r="B22" s="27" t="str">
        <x:v>natural</x:v>
      </x:c>
      <x:c r="C22" s="27" t="str">
        <x:v>待人工筛选/双人盲标</x:v>
      </x:c>
      <x:c r="D22" s="27" t="str">
        <x:v>PMC13626989</x:v>
      </x:c>
      <x:c r="E22" s="27" t="str">
        <x:v>Effects of caffeine supplementation on post-exercise recovery: a systematic review and three-level meta-analysis of perceptual, functional performance, physiological, and sleep outcomes</x:v>
      </x:c>
      <x:c r="F22" s="27"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2" s="27"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2" s="27" t="n">
        <x:v>8</x:v>
      </x:c>
      <x:c r="I22" s="27" t="str">
        <x:v>10.3389/fphys.2026.1960237</x:v>
      </x:c>
      <x:c r="J22" s="27" t="str">
        <x:v>https://pmc.ncbi.nlm.nih.gov/articles/PMC13626989/</x:v>
      </x:c>
      <x:c r="K22" s="27" t="str">
        <x:v>https://creativecommons.org/licenses/by/4.0/</x:v>
      </x:c>
      <x:c r="L22" s="27" t="str">
        <x:v>5E871A8A6A549C1C49443CDA88D089134051C79F73D94CAC1B07F7999D79E25F</x:v>
      </x:c>
      <x:c r="M22" s="27" t="str">
        <x:v>PMC9099525</x:v>
      </x:c>
      <x:c r="N22" s="27" t="str">
        <x:v>Effect of Caffeine Ingestion on Indirect Markers of Exercise-Induced Muscle Damage: A Systematic Review of Human Trials</x:v>
      </x:c>
      <x:c r="O22" s="27"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2" s="27" t="n">
        <x:v>1</x:v>
      </x:c>
      <x:c r="Q22" s="27" t="str">
        <x:v>10.3390/nu14091769</x:v>
      </x:c>
      <x:c r="R22" s="27" t="str">
        <x:v>https://pmc.ncbi.nlm.nih.gov/articles/PMC9099525/</x:v>
      </x:c>
      <x:c r="S22" s="27" t="str">
        <x:v>https://creativecommons.org/licenses/by/4.0/</x:v>
      </x:c>
      <x:c r="T22" s="27" t="str">
        <x:v>0D9956900CF18BD2E3A5989ADEDCB64DF8CA6072F835E69E1CC76C498841B489</x:v>
      </x:c>
      <x:c r="U22" s="27" t="str">
        <x:v>NCBI PMC OA BioC JSON; PMC9099525; section=ABSTRACT; passage_index=1, offset=120; exact raw/normalized evidence passage; URL=https://www.ncbi.nlm.nih.gov/research/bionlp/RESTful/pmcoa.cgi/PMC9099525/unicode</x:v>
      </x:c>
      <x:c r="V22" s="27" t="str">
        <x:v>待与完整 train/dev/test、调参和评测清单复核</x:v>
      </x:c>
      <x:c r="W22" s="28"/>
      <x:c r="X22" s="28"/>
      <x:c r="Y22" s="28"/>
      <x:c r="Z22" s="28"/>
      <x:c r="AA22" s="28"/>
      <x:c r="AB22" s="29"/>
      <x:c r="AC22" s="29"/>
      <x:c r="AD22" s="29"/>
      <x:c r="AE22" s="29"/>
      <x:c r="AF22" s="29"/>
      <x:c r="AG22" s="29"/>
      <x:c r="AH22" s="29"/>
      <x:c r="AI22" s="29"/>
      <x:c r="AJ22" s="30" t="str">
        <x:f>IF(COUNTA(W22:AA22)=5,"已填写","待填写")</x:f>
        <x:v>待填写</x:v>
      </x:c>
    </x:row>
    <x:row r="23" ht="1738.800048828125" hidden="0" customHeight="1">
      <x:c r="A23" s="27" t="str">
        <x:v>PMC-OA-V2-19</x:v>
      </x:c>
      <x:c r="B23" s="27" t="str">
        <x:v>natural</x:v>
      </x:c>
      <x:c r="C23" s="27" t="str">
        <x:v>待人工筛选/双人盲标</x:v>
      </x:c>
      <x:c r="D23" s="27" t="str">
        <x:v>PMC13626989</x:v>
      </x:c>
      <x:c r="E23" s="27" t="str">
        <x:v>Effects of caffeine supplementation on post-exercise recovery: a systematic review and three-level meta-analysis of perceptual, functional performance, physiological, and sleep outcomes</x:v>
      </x:c>
      <x:c r="F23" s="27"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v>
      </x:c>
      <x:c r="G23" s="27" t="str">
        <x:v>They also suggest that perceptual improvement, maintenance of functional performance, and physiological tissue repair may represent distinct recovery processes ([OTHER_CITATION]; [OTHER_CITATION]; [OTHER_CITATION]; [CITED:PMC6837311]).</x:v>
      </x:c>
      <x:c r="H23" s="27" t="n">
        <x:v>8</x:v>
      </x:c>
      <x:c r="I23" s="27" t="str">
        <x:v>10.3389/fphys.2026.1960237</x:v>
      </x:c>
      <x:c r="J23" s="27" t="str">
        <x:v>https://pmc.ncbi.nlm.nih.gov/articles/PMC13626989/</x:v>
      </x:c>
      <x:c r="K23" s="27" t="str">
        <x:v>https://creativecommons.org/licenses/by/4.0/</x:v>
      </x:c>
      <x:c r="L23" s="27" t="str">
        <x:v>5E871A8A6A549C1C49443CDA88D089134051C79F73D94CAC1B07F7999D79E25F</x:v>
      </x:c>
      <x:c r="M23" s="27" t="str">
        <x:v>PMC6837311</x:v>
      </x:c>
      <x:c r="N23" s="27" t="str">
        <x:v>Effect of caffeine on neuromuscular function following eccentric-based exercise</x:v>
      </x:c>
      <x:c r="O23" s="27" t="str">
        <x:v>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v>
      </x:c>
      <x:c r="P23" s="27" t="n">
        <x:v>1</x:v>
      </x:c>
      <x:c r="Q23" s="27" t="str">
        <x:v>10.1371/journal.pone.0224794</x:v>
      </x:c>
      <x:c r="R23" s="27" t="str">
        <x:v>https://pmc.ncbi.nlm.nih.gov/articles/PMC6837311/</x:v>
      </x:c>
      <x:c r="S23" s="27" t="str">
        <x:v>http://creativecommons.org/licenses/by/4.0/</x:v>
      </x:c>
      <x:c r="T23" s="27" t="str">
        <x:v>D8A58212983DA584C443227CDA58E433C5641F0D2AC81CBFF310AED1AA85D25D</x:v>
      </x:c>
      <x:c r="U23" s="27" t="str">
        <x:v>NCBI PMC OA BioC JSON; PMC6837311; section=ABSTRACT; passage_index=1, offset=80; exact raw/normalized evidence passage; URL=https://www.ncbi.nlm.nih.gov/research/bionlp/RESTful/pmcoa.cgi/PMC6837311/unicode</x:v>
      </x:c>
      <x:c r="V23" s="27" t="str">
        <x:v>待与完整 train/dev/test、调参和评测清单复核</x:v>
      </x:c>
      <x:c r="W23" s="28"/>
      <x:c r="X23" s="28"/>
      <x:c r="Y23" s="28"/>
      <x:c r="Z23" s="28"/>
      <x:c r="AA23" s="28"/>
      <x:c r="AB23" s="29"/>
      <x:c r="AC23" s="29"/>
      <x:c r="AD23" s="29"/>
      <x:c r="AE23" s="29"/>
      <x:c r="AF23" s="29"/>
      <x:c r="AG23" s="29"/>
      <x:c r="AH23" s="29"/>
      <x:c r="AI23" s="29"/>
      <x:c r="AJ23" s="30" t="str">
        <x:f>IF(COUNTA(W23:AA23)=5,"已填写","待填写")</x:f>
        <x:v>待填写</x:v>
      </x:c>
    </x:row>
    <x:row r="24" ht="1814.4000244140625" hidden="0" customHeight="1">
      <x:c r="A24" s="27" t="str">
        <x:v>PMC-OA-V2-20</x:v>
      </x:c>
      <x:c r="B24" s="27" t="str">
        <x:v>natural</x:v>
      </x:c>
      <x:c r="C24" s="27" t="str">
        <x:v>待人工筛选/双人盲标</x:v>
      </x:c>
      <x:c r="D24" s="27" t="str">
        <x:v>PMC13626992</x:v>
      </x:c>
      <x:c r="E24" s="27" t="str">
        <x:v>Cleavage-stage stratification reveals the clinical and developmental potential of 0PN embryos compared with 2PN embryos in IVF</x:v>
      </x:c>
      <x:c r="F24" s="27" t="str">
        <x:v>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v>
      </x:c>
      <x:c r="G24" s="27" t="str">
        <x:v>By comparison, embryos formed by unusual fertilization forms, such as those without visible pronuclei (0PN), were historically considered to possess unknown developmental potential and are commonly not included in transfer ([CITED:PMC11177495], [OTHER_CITATION]).</x:v>
      </x:c>
      <x:c r="H24" s="27" t="n">
        <x:v>6</x:v>
      </x:c>
      <x:c r="I24" s="27" t="str">
        <x:v>10.3389/fendo.2026.1856070</x:v>
      </x:c>
      <x:c r="J24" s="27" t="str">
        <x:v>https://pmc.ncbi.nlm.nih.gov/articles/PMC13626992/</x:v>
      </x:c>
      <x:c r="K24" s="27" t="str">
        <x:v>https://creativecommons.org/licenses/by/4.0/</x:v>
      </x:c>
      <x:c r="L24" s="27" t="str">
        <x:v>6C22F592A93C88A136F5002076D6F5CE8728E4C1EA295F4DE3B5B7143E2D184A</x:v>
      </x:c>
      <x:c r="M24" s="27" t="str">
        <x:v>PMC11177495</x:v>
      </x:c>
      <x:c r="N24" s="27" t="str">
        <x:v>Emerging trends in sperm selection: enhancing success rates in assisted reproduction</x:v>
      </x:c>
      <x:c r="O24" s="27" t="str">
        <x:v>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v>
      </x:c>
      <x:c r="P24" s="27" t="n">
        <x:v>1</x:v>
      </x:c>
      <x:c r="Q24" s="27" t="str">
        <x:v>10.1186/s12958-024-01239-1</x:v>
      </x:c>
      <x:c r="R24" s="27" t="str">
        <x:v>https://pmc.ncbi.nlm.nih.gov/articles/PMC11177495/</x:v>
      </x:c>
      <x:c r="S24" s="27" t="str">
        <x:v>https://creativecommons.org/licenses/by/4.0/</x:v>
      </x:c>
      <x:c r="T24" s="27" t="str">
        <x:v>297804172E527105EE940E02A952E49FCBAA7821F97C7A80CF577F9B88D3497A</x:v>
      </x:c>
      <x:c r="U24" s="27" t="str">
        <x:v>NCBI PMC OA BioC JSON; PMC11177495; section=ABSTRACT; passage_index=1, offset=85; exact raw/normalized evidence passage; URL=https://www.ncbi.nlm.nih.gov/research/bionlp/RESTful/pmcoa.cgi/PMC11177495/unicode</x:v>
      </x:c>
      <x:c r="V24" s="27" t="str">
        <x:v>待与完整 train/dev/test、调参和评测清单复核</x:v>
      </x:c>
      <x:c r="W24" s="28"/>
      <x:c r="X24" s="28"/>
      <x:c r="Y24" s="28"/>
      <x:c r="Z24" s="28"/>
      <x:c r="AA24" s="28"/>
      <x:c r="AB24" s="29"/>
      <x:c r="AC24" s="29"/>
      <x:c r="AD24" s="29"/>
      <x:c r="AE24" s="29"/>
      <x:c r="AF24" s="29"/>
      <x:c r="AG24" s="29"/>
      <x:c r="AH24" s="29"/>
      <x:c r="AI24" s="29"/>
      <x:c r="AJ24" s="30" t="str">
        <x:f>IF(COUNTA(W24:AA24)=5,"已填写","待填写")</x:f>
        <x:v>待填写</x:v>
      </x:c>
    </x:row>
  </x:sheetData>
  <x:mergeCells>
    <x:mergeCell ref="A1:AJ1"/>
    <x:mergeCell ref="A2:AJ2"/>
  </x:mergeCells>
  <x:conditionalFormatting sqref="X5:X24">
    <x:cfRule type="containsBlanks" dxfId="0" priority="1"/>
  </x:conditionalFormatting>
  <x:conditionalFormatting sqref="Y5:Y24">
    <x:cfRule type="containsBlanks" dxfId="1" priority="2"/>
  </x:conditionalFormatting>
  <x:conditionalFormatting sqref="AJ5:AJ24">
    <x:cfRule type="containsText" dxfId="2" priority="3" operator="containsText" text="待填写"/>
    <x:cfRule type="containsText" dxfId="3" priority="4" operator="containsText" text="已填写"/>
  </x:conditionalFormatting>
  <x:dataValidations count="4">
    <x:dataValidation type="list" sqref="X5:X24">
      <x:formula1>"ACCURATE,NOT_ACCURATE,IRRELEVANT"</x:formula1>
    </x:dataValidation>
    <x:dataValidation type="list" sqref="Y5:Y24">
      <x:formula1>"已定位,待定位,源文缺失,不适用"</x:formula1>
    </x:dataValidation>
    <x:dataValidation type="list" sqref="AC5:AC24">
      <x:formula1>"ACCURATE,NOT_ACCURATE,IRRELEVANT"</x:formula1>
    </x:dataValidation>
    <x:dataValidation type="list" sqref="AD5:AD24">
      <x:formula1>"已定位,待定位,源文缺失,不适用"</x:formula1>
    </x:dataValidation>
  </x:dataValidations>
  <x:pageMargins left="0.7" right="0.7" top="0.75" bottom="0.75" header="0.3" footer="0.3"/>
  <x:tableParts count="1">
    <x:tablePart xmlns:r="http://schemas.openxmlformats.org/officeDocument/2006/relationships" r:id="R152904de908d47ff"/>
  </x:tableParts>
</x:worksheet>
</file>