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600509b91da44b8" /></Relationships>
</file>

<file path=xl/workbook.xml><?xml version="1.0" encoding="utf-8"?>
<x:workbook xmlns:x="http://schemas.openxmlformats.org/spreadsheetml/2006/main">
  <x:sheets>
    <x:sheet xmlns:r="http://schemas.openxmlformats.org/officeDocument/2006/relationships" name="Protocol" sheetId="1" r:id="Ra317f4da0a774568"/>
    <x:sheet xmlns:r="http://schemas.openxmlformats.org/officeDocument/2006/relationships" name="Blind_Annotation" sheetId="2" r:id="Ra7ee31dc03f24fdd"/>
  </x:sheets>
</x:workbook>
</file>

<file path=xl/sharedStrings.xml><?xml version="1.0" encoding="utf-8"?>
<x:sst xmlns:x="http://schemas.openxmlformats.org/spreadsheetml/2006/main">
  <x:si>
    <x:t xml:space="preserve">用途</x:t>
  </x:si>
  <x:si>
    <x:t xml:space="preserve">候选范围</x:t>
  </x:si>
  <x:si>
    <x:t xml:space="preserve">PMC-OA-V2-01—20，共 20 条自然发生引用候选。</x:t>
  </x:si>
  <x:si>
    <x:t xml:space="preserve">当前状态</x:t>
  </x:si>
  <x:si>
    <x:t xml:space="preserve">盲标要求</x:t>
  </x:si>
  <x:si>
    <x:t xml:space="preserve">标签</x:t>
  </x:si>
  <x:si>
    <x:t xml:space="preserve">ACCURATE / NOT_ACCURATE / IRRELEVANT；不确定时先保留理由并标 evidence_status。</x:t>
  </x:si>
  <x:si>
    <x:t xml:space="preserve">证据状态</x:t>
  </x:si>
  <x:si>
    <x:t xml:space="preserve">定位口径</x:t>
  </x:si>
  <x:si>
    <x:t xml:space="preserve">优先使用稳定段落或页码；若暂时只有 XML 段落，完整记录段落号和 URL。</x:t>
  </x:si>
  <x:si>
    <x:t xml:space="preserve">回传内容</x:t>
  </x:si>
  <x:si>
    <x:t xml:space="preserve">可填写字段</x:t>
  </x:si>
  <x:si>
    <x:t xml:space="preserve">annotator_1_id；annotator_1_label；annotator_1_evidence_status；annotator_1_evidence_locator；annotator_1_reason</x:t>
  </x:si>
  <x:si>
    <x:t xml:space="preserve">不要填写</x:t>
  </x:si>
  <x:si>
    <x:t xml:space="preserve">自然/构造标记</x:t>
  </x:si>
  <x:si>
    <x:t xml:space="preserve">数据来源</x:t>
  </x:si>
  <x:si>
    <x:t xml:space="preserve">PMC 开放全文；来源 URL、许可和 SHA-256 已写入主表。</x:t>
  </x:si>
</x:sst>
</file>

<file path=xl/styles.xml><?xml version="1.0" encoding="utf-8"?>
<x:styleSheet xmlns:x="http://schemas.openxmlformats.org/spreadsheetml/2006/main">
  <x:numFmts count="4">
    <x:numFmt numFmtId="41" formatCode="_ * #,##0_ ;_ * \-#,##0_ ;_ * &quot;-&quot;_ ;_ @_ "/>
    <x:numFmt numFmtId="42" formatCode="_ &quot;￥&quot;* #,##0_ ;_ &quot;￥&quot;* \-#,##0_ ;_ &quot;￥&quot;* &quot;-&quot;_ ;_ @_ "/>
    <x:numFmt numFmtId="43" formatCode="_ * #,##0.00_ ;_ * \-#,##0.00_ ;_ * &quot;-&quot;??_ ;_ @_ "/>
    <x:numFmt numFmtId="44" formatCode="_ &quot;￥&quot;* #,##0.00_ ;_ &quot;￥&quot;* \-#,##0.00_ ;_ &quot;￥&quot;* &quot;-&quot;??_ ;_ @_ "/>
  </x:numFmts>
  <x:fonts count="28">
    <x:font>
      <x:sz val="11"/>
      <x:name val="Carlito"/>
    </x:font>
    <x:font>
      <x:b/>
      <x:sz val="14"/>
      <x:color rgb="FF000000"/>
      <x:name val="Aptos"/>
    </x:font>
    <x:font>
      <x:i/>
      <x:sz val="10"/>
      <x:color rgb="FF4B5563"/>
      <x:name val="Aptos"/>
    </x:font>
    <x:font>
      <x:b/>
      <x:sz val="9"/>
      <x:color rgb="FFFFFFFF"/>
      <x:name val="Aptos"/>
    </x:font>
    <x:font>
      <x:sz val="9"/>
      <x:color rgb="FF1F2937"/>
      <x:name val="Aptos"/>
    </x:font>
    <x:font>
      <x:sz val="9"/>
      <x:color rgb="FF1F2937"/>
      <x:name val="宋体"/>
    </x:font>
    <x:font>
      <x:b/>
      <x:sz val="10"/>
      <x:color rgb="FF1F2937"/>
      <x:name val="Aptos"/>
    </x:font>
    <x:font>
      <x:sz val="10"/>
      <x:color rgb="FF1F2937"/>
      <x:name val="Aptos"/>
    </x:font>
    <x:font>
      <x:sz val="11"/>
      <x:color theme="1"/>
      <x:name val="Calibri"/>
    </x:font>
    <x:font>
      <x:sz val="11"/>
      <x:color rgb="FF0000FF"/>
      <x:name val="Calibri"/>
    </x:font>
    <x:font>
      <x:sz val="11"/>
      <x:color rgb="FF800080"/>
      <x:name val="Calibri"/>
    </x:font>
    <x:font>
      <x:sz val="11"/>
      <x:color rgb="FFFF0000"/>
      <x:name val="Calibri"/>
    </x:font>
    <x:font>
      <x:b/>
      <x:sz val="18"/>
      <x:color theme="3"/>
      <x:name val="Calibri"/>
    </x:font>
    <x:font>
      <x:i/>
      <x:sz val="11"/>
      <x:color rgb="FF7F7F7F"/>
      <x:name val="Calibri"/>
    </x:font>
    <x:font>
      <x:b/>
      <x:sz val="15"/>
      <x:color theme="3"/>
      <x:name val="Calibri"/>
    </x:font>
    <x:font>
      <x:b/>
      <x:sz val="13"/>
      <x:color theme="3"/>
      <x:name val="Calibri"/>
    </x:font>
    <x:font>
      <x:b/>
      <x:sz val="11"/>
      <x:color theme="3"/>
      <x:name val="Calibri"/>
    </x:font>
    <x:font>
      <x:sz val="11"/>
      <x:color rgb="FF3F3F76"/>
      <x:name val="Calibri"/>
    </x:font>
    <x:font>
      <x:b/>
      <x:sz val="11"/>
      <x:color rgb="FF3F3F3F"/>
      <x:name val="Calibri"/>
    </x:font>
    <x:font>
      <x:b/>
      <x:sz val="11"/>
      <x:color rgb="FFFA7D00"/>
      <x:name val="Calibri"/>
    </x:font>
    <x:font>
      <x:b/>
      <x:sz val="11"/>
      <x:color rgb="FFFFFFFF"/>
      <x:name val="Calibri"/>
    </x:font>
    <x:font>
      <x:sz val="11"/>
      <x:color rgb="FFFA7D00"/>
      <x:name val="Calibri"/>
    </x:font>
    <x:font>
      <x:b/>
      <x:sz val="11"/>
      <x:color theme="1"/>
      <x:name val="Calibri"/>
    </x:font>
    <x:font>
      <x:sz val="11"/>
      <x:color rgb="FF006100"/>
      <x:name val="Calibri"/>
    </x:font>
    <x:font>
      <x:sz val="11"/>
      <x:color rgb="FF9C0006"/>
      <x:name val="Calibri"/>
    </x:font>
    <x:font>
      <x:sz val="11"/>
      <x:color rgb="FF9C6500"/>
      <x:name val="Calibri"/>
    </x:font>
    <x:font>
      <x:sz val="11"/>
      <x:color theme="0"/>
      <x:name val="Calibri"/>
    </x:font>
    <x:font>
      <x:sz val="11"/>
      <x:color theme="1"/>
      <x:name val="Calibri"/>
    </x:font>
  </x:fonts>
  <x:fills count="37">
    <x:fill>
      <x:patternFill patternType="none"/>
    </x:fill>
    <x:fill>
      <x:patternFill patternType="gray125"/>
    </x:fill>
    <x:fill>
      <x:patternFill patternType="solid">
        <x:fgColor rgb="FF1F4E78"/>
      </x:patternFill>
    </x:fill>
    <x:fill>
      <x:patternFill patternType="solid">
        <x:fgColor rgb="FFFFF2CC"/>
      </x:patternFill>
    </x:fill>
    <x:fill>
      <x:patternFill patternType="solid">
        <x:fgColor rgb="FFF2F2F2"/>
      </x:patternFill>
    </x:fill>
    <x:fill>
      <x:patternFill patternType="solid">
        <x:fgColor rgb="FFEAF2F8"/>
      </x:patternFill>
    </x:fill>
    <x:fill>
      <x:patternFill patternType="solid">
        <x:fgColor rgb="FFF7F7F7"/>
      </x:patternFill>
    </x:fill>
    <x:fill>
      <x:patternFill patternType="solid">
        <x:fgColor rgb="FFFFFFCC"/>
      </x:patternFill>
    </x:fill>
    <x:fill>
      <x:patternFill patternType="solid">
        <x:fgColor rgb="FFFFCC99"/>
      </x:patternFill>
    </x:fill>
    <x:fill>
      <x:patternFill patternType="solid">
        <x:fgColor rgb="FFA5A5A5"/>
      </x:patternFill>
    </x:fill>
    <x:fill>
      <x:patternFill patternType="solid">
        <x:fgColor rgb="FFC6EFCE"/>
      </x:patternFill>
    </x:fill>
    <x:fill>
      <x:patternFill patternType="solid">
        <x:fgColor rgb="FFFFC7CE"/>
      </x:patternFill>
    </x:fill>
    <x:fill>
      <x:patternFill patternType="solid">
        <x:fgColor rgb="FFFFEB9C"/>
      </x:patternFill>
    </x:fill>
    <x:fill>
      <x:patternFill patternType="solid">
        <x:fgColor theme="4"/>
      </x:patternFill>
    </x:fill>
    <x:fill>
      <x:patternFill patternType="solid">
        <x:fgColor theme="4" tint="0.79998"/>
      </x:patternFill>
    </x:fill>
    <x:fill>
      <x:patternFill patternType="solid">
        <x:fgColor theme="4" tint="0.59999"/>
      </x:patternFill>
    </x:fill>
    <x:fill>
      <x:patternFill patternType="solid">
        <x:fgColor theme="4" tint="0.39998"/>
      </x:patternFill>
    </x:fill>
    <x:fill>
      <x:patternFill patternType="solid">
        <x:fgColor theme="5"/>
      </x:patternFill>
    </x:fill>
    <x:fill>
      <x:patternFill patternType="solid">
        <x:fgColor theme="5" tint="0.79998"/>
      </x:patternFill>
    </x:fill>
    <x:fill>
      <x:patternFill patternType="solid">
        <x:fgColor theme="5" tint="0.59999"/>
      </x:patternFill>
    </x:fill>
    <x:fill>
      <x:patternFill patternType="solid">
        <x:fgColor theme="5" tint="0.39998"/>
      </x:patternFill>
    </x:fill>
    <x:fill>
      <x:patternFill patternType="solid">
        <x:fgColor theme="6"/>
      </x:patternFill>
    </x:fill>
    <x:fill>
      <x:patternFill patternType="solid">
        <x:fgColor theme="6" tint="0.79998"/>
      </x:patternFill>
    </x:fill>
    <x:fill>
      <x:patternFill patternType="solid">
        <x:fgColor theme="6" tint="0.59999"/>
      </x:patternFill>
    </x:fill>
    <x:fill>
      <x:patternFill patternType="solid">
        <x:fgColor theme="6" tint="0.39998"/>
      </x:patternFill>
    </x:fill>
    <x:fill>
      <x:patternFill patternType="solid">
        <x:fgColor theme="7"/>
      </x:patternFill>
    </x:fill>
    <x:fill>
      <x:patternFill patternType="solid">
        <x:fgColor theme="7" tint="0.79998"/>
      </x:patternFill>
    </x:fill>
    <x:fill>
      <x:patternFill patternType="solid">
        <x:fgColor theme="7" tint="0.59999"/>
      </x:patternFill>
    </x:fill>
    <x:fill>
      <x:patternFill patternType="solid">
        <x:fgColor theme="7" tint="0.39998"/>
      </x:patternFill>
    </x:fill>
    <x:fill>
      <x:patternFill patternType="solid">
        <x:fgColor theme="8"/>
      </x:patternFill>
    </x:fill>
    <x:fill>
      <x:patternFill patternType="solid">
        <x:fgColor theme="8" tint="0.79998"/>
      </x:patternFill>
    </x:fill>
    <x:fill>
      <x:patternFill patternType="solid">
        <x:fgColor theme="8" tint="0.59999"/>
      </x:patternFill>
    </x:fill>
    <x:fill>
      <x:patternFill patternType="solid">
        <x:fgColor theme="8" tint="0.39998"/>
      </x:patternFill>
    </x:fill>
    <x:fill>
      <x:patternFill patternType="solid">
        <x:fgColor theme="9"/>
      </x:patternFill>
    </x:fill>
    <x:fill>
      <x:patternFill patternType="solid">
        <x:fgColor theme="9" tint="0.79998"/>
      </x:patternFill>
    </x:fill>
    <x:fill>
      <x:patternFill patternType="solid">
        <x:fgColor theme="9" tint="0.59999"/>
      </x:patternFill>
    </x:fill>
    <x:fill>
      <x:patternFill patternType="solid">
        <x:fgColor theme="9" tint="0.39998"/>
      </x:patternFill>
    </x:fill>
  </x:fills>
  <x:borders count="10">
    <x:border/>
    <x:border>
      <x:left style="thin">
        <x:color rgb="FFD9D9D9"/>
      </x:left>
      <x:right style="thin">
        <x:color rgb="FFD9D9D9"/>
      </x:right>
      <x:top style="thin">
        <x:color rgb="FFD9D9D9"/>
      </x:top>
      <x:bottom style="thin">
        <x:color rgb="FFD9D9D9"/>
      </x:bottom>
    </x:border>
    <x:border>
      <x:left style="thin">
        <x:color rgb="FFB2B2B2"/>
      </x:left>
      <x:right style="thin">
        <x:color rgb="FFB2B2B2"/>
      </x:right>
      <x:top style="thin">
        <x:color rgb="FFB2B2B2"/>
      </x:top>
      <x:bottom style="thin">
        <x:color rgb="FFB2B2B2"/>
      </x:bottom>
    </x:border>
    <x:border>
      <x:bottom style="medium">
        <x:color theme="4"/>
      </x:bottom>
    </x:border>
    <x:border>
      <x:bottom style="medium">
        <x:color theme="4" tint="0.49998"/>
      </x:bottom>
    </x:border>
    <x:border>
      <x:left style="thin">
        <x:color rgb="FF7F7F7F"/>
      </x:left>
      <x:right style="thin">
        <x:color rgb="FF7F7F7F"/>
      </x:right>
      <x:top style="thin">
        <x:color rgb="FF7F7F7F"/>
      </x:top>
      <x:bottom style="thin">
        <x:color rgb="FF7F7F7F"/>
      </x:bottom>
    </x:border>
    <x:border>
      <x:left style="thin">
        <x:color rgb="FF3F3F3F"/>
      </x:left>
      <x:right style="thin">
        <x:color rgb="FF3F3F3F"/>
      </x:right>
      <x:top style="thin">
        <x:color rgb="FF3F3F3F"/>
      </x:top>
      <x:bottom style="thin">
        <x:color rgb="FF3F3F3F"/>
      </x:bottom>
    </x:border>
    <x:border>
      <x:left style="double">
        <x:color rgb="FF3F3F3F"/>
      </x:left>
      <x:right style="double">
        <x:color rgb="FF3F3F3F"/>
      </x:right>
      <x:top style="double">
        <x:color rgb="FF3F3F3F"/>
      </x:top>
      <x:bottom style="double">
        <x:color rgb="FF3F3F3F"/>
      </x:bottom>
    </x:border>
    <x:border>
      <x:bottom style="double">
        <x:color rgb="FFFF8001"/>
      </x:bottom>
    </x:border>
    <x:border>
      <x:top style="thin">
        <x:color theme="4"/>
      </x:top>
      <x:bottom style="double">
        <x:color theme="4"/>
      </x:bottom>
    </x:border>
  </x:borders>
  <x:cellStyleXfs count="50">
    <x:xf numFmtId="0" fontId="0" fillId="0" borderId="0">
      <x:alignment vertical="center"/>
    </x:xf>
    <x:xf numFmtId="43" fontId="8" fillId="0" borderId="0" applyFont="0" applyFill="0" applyBorder="0" applyAlignment="0" applyProtection="0">
      <x:alignment vertical="center"/>
    </x:xf>
    <x:xf numFmtId="44" fontId="8" fillId="0" borderId="0" applyFont="0" applyFill="0" applyBorder="0" applyAlignment="0" applyProtection="0">
      <x:alignment vertical="center"/>
    </x:xf>
    <x:xf numFmtId="9" fontId="8" fillId="0" borderId="0" applyFont="0" applyFill="0" applyBorder="0" applyAlignment="0" applyProtection="0">
      <x:alignment vertical="center"/>
    </x:xf>
    <x:xf numFmtId="41" fontId="8" fillId="0" borderId="0" applyFont="0" applyFill="0" applyBorder="0" applyAlignment="0" applyProtection="0">
      <x:alignment vertical="center"/>
    </x:xf>
    <x:xf numFmtId="42" fontId="8" fillId="0" borderId="0" applyFont="0" applyFill="0" applyBorder="0" applyAlignment="0" applyProtection="0">
      <x:alignment vertical="center"/>
    </x:xf>
    <x:xf numFmtId="0" fontId="9" fillId="0" borderId="0" applyNumberFormat="0" applyFill="0" applyBorder="0" applyAlignment="0" applyProtection="0">
      <x:alignment vertical="center"/>
    </x:xf>
    <x:xf numFmtId="0" fontId="10" fillId="0" borderId="0" applyNumberFormat="0" applyFill="0" applyBorder="0" applyAlignment="0" applyProtection="0">
      <x:alignment vertical="center"/>
    </x:xf>
    <x:xf numFmtId="0" fontId="8" fillId="7" borderId="2" applyNumberFormat="0" applyFont="0" applyAlignment="0" applyProtection="0">
      <x:alignment vertical="center"/>
    </x:xf>
    <x:xf numFmtId="0" fontId="11" fillId="0" borderId="0" applyNumberFormat="0" applyFill="0" applyBorder="0" applyAlignment="0" applyProtection="0">
      <x:alignment vertical="center"/>
    </x:xf>
    <x:xf numFmtId="0" fontId="12" fillId="0" borderId="0" applyNumberFormat="0" applyFill="0" applyBorder="0" applyAlignment="0" applyProtection="0">
      <x:alignment vertical="center"/>
    </x:xf>
    <x:xf numFmtId="0" fontId="13" fillId="0" borderId="0" applyNumberFormat="0" applyFill="0" applyBorder="0" applyAlignment="0" applyProtection="0">
      <x:alignment vertical="center"/>
    </x:xf>
    <x:xf numFmtId="0" fontId="14" fillId="0" borderId="3" applyNumberFormat="0" applyFill="0" applyAlignment="0" applyProtection="0">
      <x:alignment vertical="center"/>
    </x:xf>
    <x:xf numFmtId="0" fontId="15" fillId="0" borderId="3" applyNumberFormat="0" applyFill="0" applyAlignment="0" applyProtection="0">
      <x:alignment vertical="center"/>
    </x:xf>
    <x:xf numFmtId="0" fontId="16" fillId="0" borderId="4" applyNumberFormat="0" applyFill="0" applyAlignment="0" applyProtection="0">
      <x:alignment vertical="center"/>
    </x:xf>
    <x:xf numFmtId="0" fontId="16" fillId="0" borderId="0" applyNumberFormat="0" applyFill="0" applyBorder="0" applyAlignment="0" applyProtection="0">
      <x:alignment vertical="center"/>
    </x:xf>
    <x:xf numFmtId="0" fontId="17" fillId="8" borderId="5" applyNumberFormat="0" applyAlignment="0" applyProtection="0">
      <x:alignment vertical="center"/>
    </x:xf>
    <x:xf numFmtId="0" fontId="18" fillId="4" borderId="6" applyNumberFormat="0" applyAlignment="0" applyProtection="0">
      <x:alignment vertical="center"/>
    </x:xf>
    <x:xf numFmtId="0" fontId="19" fillId="4" borderId="5" applyNumberFormat="0" applyAlignment="0" applyProtection="0">
      <x:alignment vertical="center"/>
    </x:xf>
    <x:xf numFmtId="0" fontId="20" fillId="9" borderId="7" applyNumberFormat="0" applyAlignment="0" applyProtection="0">
      <x:alignment vertical="center"/>
    </x:xf>
    <x:xf numFmtId="0" fontId="21" fillId="0" borderId="8" applyNumberFormat="0" applyFill="0" applyAlignment="0" applyProtection="0">
      <x:alignment vertical="center"/>
    </x:xf>
    <x:xf numFmtId="0" fontId="22" fillId="0" borderId="9" applyNumberFormat="0" applyFill="0" applyAlignment="0" applyProtection="0">
      <x:alignment vertical="center"/>
    </x:xf>
    <x:xf numFmtId="0" fontId="23" fillId="10" borderId="0" applyNumberFormat="0" applyBorder="0" applyAlignment="0" applyProtection="0">
      <x:alignment vertical="center"/>
    </x:xf>
    <x:xf numFmtId="0" fontId="24" fillId="11" borderId="0" applyNumberFormat="0" applyBorder="0" applyAlignment="0" applyProtection="0">
      <x:alignment vertical="center"/>
    </x:xf>
    <x:xf numFmtId="0" fontId="25" fillId="12" borderId="0" applyNumberFormat="0" applyBorder="0" applyAlignment="0" applyProtection="0">
      <x:alignment vertical="center"/>
    </x:xf>
    <x:xf numFmtId="0" fontId="26" fillId="13" borderId="0" applyNumberFormat="0" applyBorder="0" applyAlignment="0" applyProtection="0">
      <x:alignment vertical="center"/>
    </x:xf>
    <x:xf numFmtId="0" fontId="27" fillId="14" borderId="0" applyNumberFormat="0" applyBorder="0" applyAlignment="0" applyProtection="0">
      <x:alignment vertical="center"/>
    </x:xf>
    <x:xf numFmtId="0" fontId="27" fillId="15" borderId="0" applyNumberFormat="0" applyBorder="0" applyAlignment="0" applyProtection="0">
      <x:alignment vertical="center"/>
    </x:xf>
    <x:xf numFmtId="0" fontId="26" fillId="16" borderId="0" applyNumberFormat="0" applyBorder="0" applyAlignment="0" applyProtection="0">
      <x:alignment vertical="center"/>
    </x:xf>
    <x:xf numFmtId="0" fontId="26" fillId="17" borderId="0" applyNumberFormat="0" applyBorder="0" applyAlignment="0" applyProtection="0">
      <x:alignment vertical="center"/>
    </x:xf>
    <x:xf numFmtId="0" fontId="27" fillId="18" borderId="0" applyNumberFormat="0" applyBorder="0" applyAlignment="0" applyProtection="0">
      <x:alignment vertical="center"/>
    </x:xf>
    <x:xf numFmtId="0" fontId="27" fillId="19" borderId="0" applyNumberFormat="0" applyBorder="0" applyAlignment="0" applyProtection="0">
      <x:alignment vertical="center"/>
    </x:xf>
    <x:xf numFmtId="0" fontId="26" fillId="20" borderId="0" applyNumberFormat="0" applyBorder="0" applyAlignment="0" applyProtection="0">
      <x:alignment vertical="center"/>
    </x:xf>
    <x:xf numFmtId="0" fontId="26" fillId="21" borderId="0" applyNumberFormat="0" applyBorder="0" applyAlignment="0" applyProtection="0">
      <x:alignment vertical="center"/>
    </x:xf>
    <x:xf numFmtId="0" fontId="27" fillId="22" borderId="0" applyNumberFormat="0" applyBorder="0" applyAlignment="0" applyProtection="0">
      <x:alignment vertical="center"/>
    </x:xf>
    <x:xf numFmtId="0" fontId="27" fillId="23" borderId="0" applyNumberFormat="0" applyBorder="0" applyAlignment="0" applyProtection="0">
      <x:alignment vertical="center"/>
    </x:xf>
    <x:xf numFmtId="0" fontId="26" fillId="24" borderId="0" applyNumberFormat="0" applyBorder="0" applyAlignment="0" applyProtection="0">
      <x:alignment vertical="center"/>
    </x:xf>
    <x:xf numFmtId="0" fontId="26" fillId="25" borderId="0" applyNumberFormat="0" applyBorder="0" applyAlignment="0" applyProtection="0">
      <x:alignment vertical="center"/>
    </x:xf>
    <x:xf numFmtId="0" fontId="27" fillId="26" borderId="0" applyNumberFormat="0" applyBorder="0" applyAlignment="0" applyProtection="0">
      <x:alignment vertical="center"/>
    </x:xf>
    <x:xf numFmtId="0" fontId="27" fillId="27" borderId="0" applyNumberFormat="0" applyBorder="0" applyAlignment="0" applyProtection="0">
      <x:alignment vertical="center"/>
    </x:xf>
    <x:xf numFmtId="0" fontId="26" fillId="28" borderId="0" applyNumberFormat="0" applyBorder="0" applyAlignment="0" applyProtection="0">
      <x:alignment vertical="center"/>
    </x:xf>
    <x:xf numFmtId="0" fontId="26" fillId="29" borderId="0" applyNumberFormat="0" applyBorder="0" applyAlignment="0" applyProtection="0">
      <x:alignment vertical="center"/>
    </x:xf>
    <x:xf numFmtId="0" fontId="27" fillId="30" borderId="0" applyNumberFormat="0" applyBorder="0" applyAlignment="0" applyProtection="0">
      <x:alignment vertical="center"/>
    </x:xf>
    <x:xf numFmtId="0" fontId="27" fillId="31" borderId="0" applyNumberFormat="0" applyBorder="0" applyAlignment="0" applyProtection="0">
      <x:alignment vertical="center"/>
    </x:xf>
    <x:xf numFmtId="0" fontId="26" fillId="32" borderId="0" applyNumberFormat="0" applyBorder="0" applyAlignment="0" applyProtection="0">
      <x:alignment vertical="center"/>
    </x:xf>
    <x:xf numFmtId="0" fontId="26" fillId="33" borderId="0" applyNumberFormat="0" applyBorder="0" applyAlignment="0" applyProtection="0">
      <x:alignment vertical="center"/>
    </x:xf>
    <x:xf numFmtId="0" fontId="27" fillId="34" borderId="0" applyNumberFormat="0" applyBorder="0" applyAlignment="0" applyProtection="0">
      <x:alignment vertical="center"/>
    </x:xf>
    <x:xf numFmtId="0" fontId="27" fillId="35" borderId="0" applyNumberFormat="0" applyBorder="0" applyAlignment="0" applyProtection="0">
      <x:alignment vertical="center"/>
    </x:xf>
    <x:xf numFmtId="0" fontId="26" fillId="36" borderId="0" applyNumberFormat="0" applyBorder="0" applyAlignment="0" applyProtection="0">
      <x:alignment vertical="center"/>
    </x:xf>
    <x:xf numFmtId="0" fontId="0" fillId="0" borderId="0"/>
  </x:cellStyleXfs>
  <x:cellXfs count="14">
    <x:xf numFmtId="0" fontId="0" fillId="0" borderId="0" xfId="49"/>
    <x:xf numFmtId="0" fontId="1" fillId="0" borderId="0" xfId="49" applyFont="1"/>
    <x:xf numFmtId="0" fontId="2" fillId="0" borderId="0" xfId="49" applyFont="1" applyAlignment="1">
      <x:alignment wrapText="1"/>
    </x:xf>
    <x:xf numFmtId="0" fontId="3" fillId="2" borderId="1" xfId="49" applyFont="1" applyFill="1" applyBorder="1" applyAlignment="1">
      <x:alignment horizontal="center" vertical="center" wrapText="1"/>
    </x:xf>
    <x:xf numFmtId="0" fontId="4" fillId="0" borderId="1" xfId="49" applyFont="1" applyBorder="1" applyAlignment="1">
      <x:alignment vertical="top" wrapText="1"/>
    </x:xf>
    <x:xf numFmtId="0" fontId="4" fillId="3" borderId="1" xfId="49" applyFont="1" applyFill="1" applyBorder="1" applyAlignment="1">
      <x:alignment vertical="top" wrapText="1"/>
    </x:xf>
    <x:xf numFmtId="0" fontId="4" fillId="4" borderId="1" xfId="49" applyFont="1" applyFill="1" applyBorder="1" applyAlignment="1">
      <x:alignment vertical="top" wrapText="1"/>
    </x:xf>
    <x:xf numFmtId="0" fontId="4" fillId="5" borderId="1" xfId="49" applyFont="1" applyFill="1" applyBorder="1" applyAlignment="1">
      <x:alignment vertical="top" wrapText="1"/>
    </x:xf>
    <x:xf numFmtId="0" fontId="5" fillId="3" borderId="1" xfId="49" applyFont="1" applyFill="1" applyBorder="1" applyAlignment="1">
      <x:alignment vertical="top" wrapText="1"/>
    </x:xf>
    <x:xf numFmtId="0" fontId="1" fillId="0" borderId="0" xfId="49" applyFont="1" applyAlignment="1">
      <x:alignment vertical="center"/>
    </x:xf>
    <x:xf numFmtId="0" fontId="0" fillId="0" borderId="0" xfId="49" applyAlignment="1">
      <x:alignment vertical="center"/>
    </x:xf>
    <x:xf numFmtId="0" fontId="6" fillId="5" borderId="1" xfId="49" applyFont="1" applyFill="1" applyBorder="1" applyAlignment="1">
      <x:alignment vertical="center"/>
    </x:xf>
    <x:xf numFmtId="0" fontId="7" fillId="0" borderId="1" xfId="49" applyFont="1" applyBorder="1" applyAlignment="1">
      <x:alignment vertical="center" wrapText="1"/>
    </x:xf>
    <x:xf numFmtId="0" fontId="6" fillId="6" borderId="1" xfId="49" applyFont="1" applyFill="1" applyBorder="1" applyAlignment="1">
      <x:alignment vertical="center"/>
    </x:xf>
  </x:cellXfs>
  <x:cellStyles count="50">
    <x:cellStyle name="常规" xfId="0"/>
    <x:cellStyle name="千位分隔" xfId="1"/>
    <x:cellStyle name="货币" xfId="2"/>
    <x:cellStyle name="百分比" xfId="3"/>
    <x:cellStyle name="千位分隔[0]" xfId="4"/>
    <x:cellStyle name="货币[0]" xfId="5"/>
    <x:cellStyle name="超链接" xfId="6"/>
    <x:cellStyle name="已访问的超链接" xfId="7"/>
    <x:cellStyle name="注释" xfId="8"/>
    <x:cellStyle name="警告文本" xfId="9"/>
    <x:cellStyle name="标题" xfId="10"/>
    <x:cellStyle name="解释性文本" xfId="11"/>
    <x:cellStyle name="标题 1" xfId="12"/>
    <x:cellStyle name="标题 2" xfId="13"/>
    <x:cellStyle name="标题 3" xfId="14"/>
    <x:cellStyle name="标题 4" xfId="15"/>
    <x:cellStyle name="输入" xfId="16"/>
    <x:cellStyle name="输出" xfId="17"/>
    <x:cellStyle name="计算" xfId="18"/>
    <x:cellStyle name="检查单元格" xfId="19"/>
    <x:cellStyle name="链接单元格" xfId="20"/>
    <x:cellStyle name="汇总" xfId="21"/>
    <x:cellStyle name="好" xfId="22"/>
    <x:cellStyle name="差" xfId="23"/>
    <x:cellStyle name="适中" xfId="24"/>
    <x:cellStyle name="强调文字颜色 1" xfId="25"/>
    <x:cellStyle name="20% - 强调文字颜色 1" xfId="26"/>
    <x:cellStyle name="40% - 强调文字颜色 1" xfId="27"/>
    <x:cellStyle name="60% - 强调文字颜色 1" xfId="28"/>
    <x:cellStyle name="强调文字颜色 2" xfId="29"/>
    <x:cellStyle name="20% - 强调文字颜色 2" xfId="30"/>
    <x:cellStyle name="40% - 强调文字颜色 2" xfId="31"/>
    <x:cellStyle name="60% - 强调文字颜色 2" xfId="32"/>
    <x:cellStyle name="强调文字颜色 3" xfId="33"/>
    <x:cellStyle name="20% - 强调文字颜色 3" xfId="34"/>
    <x:cellStyle name="40% - 强调文字颜色 3" xfId="35"/>
    <x:cellStyle name="60% - 强调文字颜色 3" xfId="36"/>
    <x:cellStyle name="强调文字颜色 4" xfId="37"/>
    <x:cellStyle name="20% - 强调文字颜色 4" xfId="38"/>
    <x:cellStyle name="40% - 强调文字颜色 4" xfId="39"/>
    <x:cellStyle name="60% - 强调文字颜色 4" xfId="40"/>
    <x:cellStyle name="强调文字颜色 5" xfId="41"/>
    <x:cellStyle name="20% - 强调文字颜色 5" xfId="42"/>
    <x:cellStyle name="40% - 强调文字颜色 5" xfId="43"/>
    <x:cellStyle name="60% - 强调文字颜色 5" xfId="44"/>
    <x:cellStyle name="强调文字颜色 6" xfId="45"/>
    <x:cellStyle name="20% - 强调文字颜色 6" xfId="46"/>
    <x:cellStyle name="40% - 强调文字颜色 6" xfId="47"/>
    <x:cellStyle name="60% - 强调文字颜色 6" xfId="48"/>
    <x:cellStyle name="Normal" xfId="49"/>
  </x:cellStyles>
  <x:dxfs count="20">
    <x:dxf>
      <x:fill>
        <x:patternFill>
          <x:bgColor rgb="FFFFF2CC"/>
        </x:patternFill>
      </x:fill>
    </x:dxf>
    <x:dxf>
      <x:font>
        <x:color rgb="FF7F6000"/>
      </x:font>
      <x:fill>
        <x:patternFill>
          <x:bgColor rgb="FFFFF2CC"/>
        </x:patternFill>
      </x:fill>
    </x:dxf>
    <x:dxf>
      <x:font>
        <x:color rgb="FF375623"/>
      </x:font>
      <x:fill>
        <x:patternFill>
          <x:bgColor rgb="FFE2F0D9"/>
        </x:patternFill>
      </x:fill>
    </x:dxf>
    <x:dxf>
      <x:fill>
        <x:patternFill>
          <x:bgColor theme="4" tint="0.79998"/>
        </x:patternFill>
      </x:fill>
    </x:dxf>
    <x:dxf>
      <x:fill>
        <x:patternFill>
          <x:bgColor theme="4" tint="0.79998"/>
        </x:patternFill>
      </x:fill>
    </x:dxf>
    <x:dxf>
      <x:font>
        <x:b/>
        <x:color theme="1"/>
      </x:font>
    </x:dxf>
    <x:dxf>
      <x:font>
        <x:b/>
        <x:color theme="1"/>
      </x:font>
    </x:dxf>
    <x:dxf>
      <x:font>
        <x:b/>
        <x:color theme="1"/>
      </x:font>
      <x:border>
        <x:top style="double">
          <x:color theme="4"/>
        </x:top>
      </x:border>
    </x:dxf>
    <x:dxf>
      <x:font>
        <x:b/>
        <x:color theme="0"/>
      </x:font>
      <x:fill>
        <x:patternFill>
          <x:bgColor theme="4"/>
        </x:patternFill>
      </x:fill>
    </x:dxf>
    <x:dxf>
      <x:font>
        <x:color theme="1"/>
      </x:font>
      <x:border>
        <x:left style="thin">
          <x:color theme="4"/>
        </x:left>
        <x:right style="thin">
          <x:color theme="4"/>
        </x:right>
        <x:top style="thin">
          <x:color theme="4"/>
        </x:top>
        <x:bottom style="thin">
          <x:color theme="4"/>
        </x:bottom>
      </x:border>
    </x:dxf>
    <x:dxf>
      <x:fill>
        <x:patternFill>
          <x:bgColor theme="4" tint="0.79998"/>
        </x:patternFill>
      </x:fill>
      <x:border>
        <x:bottom style="thin">
          <x:color theme="4" tint="0.39998"/>
        </x:bottom>
      </x:border>
    </x:dxf>
    <x:dxf>
      <x:font>
        <x:b/>
      </x:font>
      <x:fill>
        <x:patternFill>
          <x:bgColor theme="4" tint="0.79998"/>
        </x:patternFill>
      </x:fill>
      <x:border>
        <x:bottom style="thin">
          <x:color theme="4" tint="0.39998"/>
        </x:bottom>
      </x:border>
    </x:dxf>
    <x:dxf>
      <x:font>
        <x:color theme="1"/>
      </x:font>
    </x:dxf>
    <x:dxf>
      <x:font>
        <x:color theme="1"/>
      </x:font>
      <x:border>
        <x:bottom style="thin">
          <x:color theme="4" tint="0.39998"/>
        </x:bottom>
      </x:border>
    </x:dxf>
    <x:dxf>
      <x:font>
        <x:b/>
        <x:color theme="1"/>
      </x:font>
    </x:dxf>
    <x:dxf>
      <x:font>
        <x:b/>
        <x:color theme="1"/>
      </x:font>
      <x:border>
        <x:top style="thin">
          <x:color theme="4"/>
        </x:top>
        <x:bottom style="thin">
          <x:color theme="4"/>
        </x:bottom>
      </x:border>
    </x:dxf>
    <x:dxf>
      <x:fill>
        <x:patternFill>
          <x:bgColor theme="4" tint="0.79998"/>
        </x:patternFill>
      </x:fill>
    </x:dxf>
    <x:dxf>
      <x:fill>
        <x:patternFill>
          <x:bgColor theme="4" tint="0.79998"/>
        </x:patternFill>
      </x:fill>
    </x:dxf>
    <x:dxf>
      <x:font>
        <x:b/>
        <x:color theme="1"/>
      </x:font>
      <x:fill>
        <x:patternFill>
          <x:bgColor theme="4" tint="0.79998"/>
        </x:patternFill>
      </x:fill>
      <x:border>
        <x:top style="thin">
          <x:color theme="4" tint="0.39998"/>
        </x:top>
        <x:bottom style="thin">
          <x:color theme="4" tint="0.39998"/>
        </x:bottom>
      </x:border>
    </x:dxf>
    <x:dxf>
      <x:font>
        <x:b/>
        <x:color theme="1"/>
      </x:font>
      <x:fill>
        <x:patternFill>
          <x:bgColor theme="4" tint="0.79998"/>
        </x:patternFill>
      </x:fill>
      <x:border>
        <x:bottom style="thin">
          <x:color theme="4" tint="0.39998"/>
        </x:bottom>
      </x:border>
    </x:dxf>
  </x:dxfs>
</x:styleSheet>
</file>

<file path=xl/_rels/workbook.xml.rels>&#65279;<?xml version="1.0" encoding="utf-8"?><Relationships xmlns="http://schemas.openxmlformats.org/package/2006/relationships"><Relationship Type="http://schemas.openxmlformats.org/officeDocument/2006/relationships/styles" Target="/xl/styles.xml" Id="R68fcc098b65d41b5" /><Relationship Type="http://schemas.openxmlformats.org/officeDocument/2006/relationships/theme" Target="/xl/theme/theme1.xml" Id="R751f18c270b34df9" /><Relationship Type="http://schemas.openxmlformats.org/officeDocument/2006/relationships/sharedStrings" Target="/xl/sharedStrings.xml" Id="R079aa7606cc7432f" /><Relationship Type="http://schemas.openxmlformats.org/officeDocument/2006/relationships/worksheet" Target="/xl/worksheets/sheet1.xml" Id="Ra317f4da0a774568" /><Relationship Type="http://schemas.openxmlformats.org/officeDocument/2006/relationships/worksheet" Target="/xl/worksheets/sheet2.xml" Id="Ra7ee31dc03f24fdd" /></Relationships>
</file>

<file path=xl/tables/table1.xml><?xml version="1.0" encoding="utf-8"?>
<x:table xmlns:x="http://schemas.openxmlformats.org/spreadsheetml/2006/main" id="1" name="PmcBlindAnnotationTable" displayName="PmcBlindAnnotationTable" ref="A4:AJ24" totalsRowShown="0">
  <x:tableColumns count="36">
    <x:tableColumn id="1" name="candidate_id"/>
    <x:tableColumn id="2" name="natural_or_constructed"/>
    <x:tableColumn id="3" name="candidate_status"/>
    <x:tableColumn id="4" name="citing_pmcid"/>
    <x:tableColumn id="5" name="citing_title"/>
    <x:tableColumn id="6" name="citing_context_marked"/>
    <x:tableColumn id="7" name="citing_sentence_marked"/>
    <x:tableColumn id="8" name="citing_xml_paragraph"/>
    <x:tableColumn id="9" name="citing_doi"/>
    <x:tableColumn id="10" name="citing_url"/>
    <x:tableColumn id="11" name="citing_license"/>
    <x:tableColumn id="12" name="citing_xml_sha256"/>
    <x:tableColumn id="13" name="cited_pmcid"/>
    <x:tableColumn id="14" name="cited_title"/>
    <x:tableColumn id="15" name="cited_evidence"/>
    <x:tableColumn id="16" name="cited_xml_paragraph"/>
    <x:tableColumn id="17" name="cited_doi"/>
    <x:tableColumn id="18" name="cited_url"/>
    <x:tableColumn id="19" name="cited_license"/>
    <x:tableColumn id="20" name="cited_xml_sha256"/>
    <x:tableColumn id="21" name="evidence_locator"/>
    <x:tableColumn id="22" name="overlap_check"/>
    <x:tableColumn id="23" name="annotator_1_id"/>
    <x:tableColumn id="24" name="annotator_1_label"/>
    <x:tableColumn id="25" name="annotator_1_evidence_status"/>
    <x:tableColumn id="26" name="annotator_1_evidence_locator"/>
    <x:tableColumn id="27" name="annotator_1_reason"/>
    <x:tableColumn id="28" name="annotator_2_id"/>
    <x:tableColumn id="29" name="annotator_2_label"/>
    <x:tableColumn id="30" name="annotator_2_evidence_status"/>
    <x:tableColumn id="31" name="annotator_2_evidence_locator"/>
    <x:tableColumn id="32" name="annotator_2_reason"/>
    <x:tableColumn id="33" name="project_label"/>
    <x:tableColumn id="34" name="adjudicated_label"/>
    <x:tableColumn id="35" name="adjudication_reason"/>
    <x:tableColumn id="36" name="return_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fc3bd8fa68dc4ef7" /></Relationships>
</file>

<file path=xl/worksheets/sheet1.xml><?xml version="1.0" encoding="utf-8"?>
<x:worksheet xmlns:x="http://schemas.openxmlformats.org/spreadsheetml/2006/main">
  <x:sheetViews>
    <x:sheetView showGridLines="0" workbookViewId="0"/>
  </x:sheetViews>
  <x:sheetFormatPr defaultColWidth="9" defaultRowHeight="14.25"/>
  <x:cols>
    <x:col min="1" max="1" width="18" customWidth="1"/>
    <x:col min="2" max="2" width="92" customWidth="1"/>
  </x:cols>
  <x:sheetData>
    <x:row r="1" ht="18">
      <x:c r="A1" s="9" t="str">
        <x:v>PMC natural 候选标注合并与最终试标集 v3</x:v>
      </x:c>
    </x:row>
    <x:row r="2">
      <x:c r="A2" s="10"/>
      <x:c r="B2" s="10"/>
      <x:c r="C2" s="10"/>
      <x:c r="D2" s="10"/>
      <x:c r="E2" s="10"/>
      <x:c r="F2" s="10"/>
      <x:c r="G2" s="10"/>
      <x:c r="H2" s="10"/>
    </x:row>
    <x:row r="3" ht="15" customHeight="1">
      <x:c r="A3" s="11" t="s">
        <x:v>0</x:v>
      </x:c>
      <x:c r="B3" s="12" t="str">
        <x:v>已合并双方独立标注，20 条证据定位均已核验，且已确认与现有 train/dev/test、调参和评测集无重叠；本表为本批正式试标集版本。</x:v>
      </x:c>
      <x:c r="C3" s="10"/>
      <x:c r="D3" s="10"/>
      <x:c r="E3" s="10"/>
      <x:c r="F3" s="10"/>
      <x:c r="G3" s="10"/>
      <x:c r="H3" s="10"/>
    </x:row>
    <x:row r="4" ht="15" customHeight="1">
      <x:c r="A4" s="11" t="s">
        <x:v>1</x:v>
      </x:c>
      <x:c r="B4" s="12" t="s">
        <x:v>2</x:v>
      </x:c>
      <x:c r="C4" s="10"/>
      <x:c r="D4" s="10"/>
      <x:c r="E4" s="10"/>
      <x:c r="F4" s="10"/>
      <x:c r="G4" s="10"/>
      <x:c r="H4" s="10"/>
    </x:row>
    <x:row r="5" ht="15" customHeight="1">
      <x:c r="A5" s="11" t="s">
        <x:v>3</x:v>
      </x:c>
      <x:c r="B5" s="12" t="str">
        <x:v>正式试标集；20 条均完成双人标注、证据定位、最终裁决和去重确认。</x:v>
      </x:c>
      <x:c r="C5" s="10"/>
      <x:c r="D5" s="10"/>
      <x:c r="E5" s="10"/>
      <x:c r="F5" s="10"/>
      <x:c r="G5" s="10"/>
      <x:c r="H5" s="10"/>
    </x:row>
    <x:row r="6" ht="15" customHeight="1">
      <x:c r="A6" s="11" t="s">
        <x:v>4</x:v>
      </x:c>
      <x:c r="B6" s="12" t="str">
        <x:v>双方 annotator_1_* 和 annotator_2_* 原始值保留；project_label 与 adjudicated_label 已按最终裁决写入。</x:v>
      </x:c>
      <x:c r="C6" s="10"/>
      <x:c r="D6" s="10"/>
      <x:c r="E6" s="10"/>
      <x:c r="F6" s="10"/>
      <x:c r="G6" s="10"/>
      <x:c r="H6" s="10"/>
    </x:row>
    <x:row r="7" ht="15" customHeight="1">
      <x:c r="A7" s="11" t="s">
        <x:v>5</x:v>
      </x:c>
      <x:c r="B7" s="12" t="s">
        <x:v>6</x:v>
      </x:c>
      <x:c r="C7" s="10"/>
      <x:c r="D7" s="10"/>
      <x:c r="E7" s="10"/>
      <x:c r="F7" s="10"/>
      <x:c r="G7" s="10"/>
      <x:c r="H7" s="10"/>
    </x:row>
    <x:row r="8" ht="15" customHeight="1">
      <x:c r="A8" s="11" t="s">
        <x:v>7</x:v>
      </x:c>
      <x:c r="B8" s="12" t="str">
        <x:v>本批 20 条均为已定位；证据状态不是准确性标签。</x:v>
      </x:c>
      <x:c r="C8" s="10"/>
      <x:c r="D8" s="10"/>
      <x:c r="E8" s="10"/>
      <x:c r="F8" s="10"/>
      <x:c r="G8" s="10"/>
      <x:c r="H8" s="10"/>
    </x:row>
    <x:row r="9" ht="15" customHeight="1">
      <x:c r="A9" s="11" t="s">
        <x:v>8</x:v>
      </x:c>
      <x:c r="B9" s="12" t="s">
        <x:v>9</x:v>
      </x:c>
      <x:c r="C9" s="10"/>
      <x:c r="D9" s="10"/>
      <x:c r="E9" s="10"/>
      <x:c r="F9" s="10"/>
      <x:c r="G9" s="10"/>
      <x:c r="H9" s="10"/>
    </x:row>
    <x:row r="10" ht="15" customHeight="1">
      <x:c r="A10" s="11" t="s">
        <x:v>10</x:v>
      </x:c>
      <x:c r="B10" s="12" t="str">
        <x:v>双方原始标签保留；分歧写入 adjudication_reason，NOT-ACCURATE 只在比较统计时规范化为 NOT_ACCURATE。</x:v>
      </x:c>
      <x:c r="C10" s="10"/>
      <x:c r="D10" s="10"/>
      <x:c r="E10" s="10"/>
      <x:c r="F10" s="10"/>
      <x:c r="G10" s="10"/>
      <x:c r="H10" s="10"/>
    </x:row>
    <x:row r="11" ht="15" customHeight="1">
      <x:c r="A11" s="10"/>
      <x:c r="B11" s="10"/>
      <x:c r="C11" s="10"/>
      <x:c r="D11" s="10"/>
      <x:c r="E11" s="10"/>
      <x:c r="F11" s="10"/>
      <x:c r="G11" s="10"/>
      <x:c r="H11" s="10"/>
    </x:row>
    <x:row r="12" ht="15" customHeight="1">
      <x:c r="A12" s="13" t="s">
        <x:v>11</x:v>
      </x:c>
      <x:c r="B12" s="12" t="s">
        <x:v>12</x:v>
      </x:c>
      <x:c r="C12" s="10"/>
      <x:c r="D12" s="10"/>
      <x:c r="E12" s="10"/>
      <x:c r="F12" s="10"/>
      <x:c r="G12" s="10"/>
      <x:c r="H12" s="10"/>
    </x:row>
    <x:row r="13" ht="15" customHeight="1">
      <x:c r="A13" s="13" t="s">
        <x:v>13</x:v>
      </x:c>
      <x:c r="B13" s="12" t="str">
        <x:v>本表为最终合并结果；如需修改，请保留本版本并另建新版本。</x:v>
      </x:c>
      <x:c r="C13" s="10"/>
      <x:c r="D13" s="10"/>
      <x:c r="E13" s="10"/>
      <x:c r="F13" s="10"/>
      <x:c r="G13" s="10"/>
      <x:c r="H13" s="10"/>
    </x:row>
    <x:row r="14" ht="15" customHeight="1">
      <x:c r="A14" s="13" t="s">
        <x:v>14</x:v>
      </x:c>
      <x:c r="B14" s="12" t="str">
        <x:v>双方原始标签、正式 project_label、adjudicated_label 和裁决理由均已保留。</x:v>
      </x:c>
      <x:c r="C14" s="10"/>
      <x:c r="D14" s="10"/>
      <x:c r="E14" s="10"/>
      <x:c r="F14" s="10"/>
      <x:c r="G14" s="10"/>
      <x:c r="H14" s="10"/>
    </x:row>
    <x:row r="15" ht="15" customHeight="1">
      <x:c r="A15" s="13" t="s">
        <x:v>15</x:v>
      </x:c>
      <x:c r="B15" s="12" t="s">
        <x:v>16</x:v>
      </x:c>
      <x:c r="C15" s="10"/>
      <x:c r="D15" s="10"/>
      <x:c r="E15" s="10"/>
      <x:c r="F15" s="10"/>
      <x:c r="G15" s="10"/>
      <x:c r="H15" s="10"/>
    </x:row>
    <x:row r="16">
      <x:c r="A16" s="10"/>
      <x:c r="B16" s="10"/>
      <x:c r="C16" s="10"/>
      <x:c r="D16" s="10"/>
      <x:c r="E16" s="10"/>
      <x:c r="F16" s="10"/>
      <x:c r="G16" s="10"/>
      <x:c r="H16" s="10"/>
    </x:row>
    <x:row r="17">
      <x:c r="A17" s="10"/>
      <x:c r="B17" s="10"/>
      <x:c r="C17" s="10"/>
      <x:c r="D17" s="10"/>
      <x:c r="E17" s="10"/>
      <x:c r="F17" s="10"/>
      <x:c r="G17" s="10"/>
      <x:c r="H17" s="10"/>
    </x:row>
    <x:row r="18">
      <x:c r="A18" s="10"/>
      <x:c r="B18" s="10"/>
      <x:c r="C18" s="10"/>
      <x:c r="D18" s="10"/>
      <x:c r="E18" s="10"/>
      <x:c r="F18" s="10"/>
      <x:c r="G18" s="10"/>
      <x:c r="H18" s="10"/>
    </x:row>
    <x:row r="19">
      <x:c r="A19" s="10"/>
      <x:c r="B19" s="10"/>
      <x:c r="C19" s="10"/>
      <x:c r="D19" s="10"/>
      <x:c r="E19" s="10"/>
      <x:c r="F19" s="10"/>
      <x:c r="G19" s="10"/>
      <x:c r="H19" s="10"/>
    </x:row>
    <x:row r="20">
      <x:c r="A20" s="10"/>
      <x:c r="B20" s="10"/>
      <x:c r="C20" s="10"/>
      <x:c r="D20" s="10"/>
      <x:c r="E20" s="10"/>
      <x:c r="F20" s="10"/>
      <x:c r="G20" s="10"/>
      <x:c r="H20" s="10"/>
    </x:row>
  </x:sheetData>
  <x:mergeCells>
    <x:mergeCell ref="A1:H1"/>
  </x:mergeCells>
  <x:pageMargins left="0.7" right="0.7" top="0.75" bottom="0.75" header="0.3" footer="0.3"/>
</x:worksheet>
</file>

<file path=xl/worksheets/sheet2.xml><?xml version="1.0" encoding="utf-8"?>
<x:worksheet xmlns:x="http://schemas.openxmlformats.org/spreadsheetml/2006/main">
  <x:sheetViews>
    <x:sheetView showGridLines="0" workbookViewId="0">
      <x:pane xSplit="4" ySplit="4" topLeftCell="E5" activePane="bottomRight" state="frozen"/>
    </x:sheetView>
  </x:sheetViews>
  <x:sheetFormatPr defaultColWidth="9" defaultRowHeight="14.25"/>
  <x:cols>
    <x:col min="1" max="2" width="16" customWidth="1"/>
    <x:col min="3" max="3" width="19" customWidth="1"/>
    <x:col min="4" max="4" width="14" customWidth="1"/>
    <x:col min="5" max="5" width="34" customWidth="1"/>
    <x:col min="6" max="6" width="68" customWidth="1"/>
    <x:col min="7" max="7" width="54" customWidth="1"/>
    <x:col min="8" max="8" width="12" customWidth="1"/>
    <x:col min="9" max="9" width="22" customWidth="1"/>
    <x:col min="10" max="10" width="40" customWidth="1"/>
    <x:col min="11" max="11" width="28" customWidth="1"/>
    <x:col min="12" max="12" width="38" customWidth="1"/>
    <x:col min="13" max="13" width="14" customWidth="1"/>
    <x:col min="14" max="14" width="34" customWidth="1"/>
    <x:col min="15" max="15" width="68" customWidth="1"/>
    <x:col min="16" max="16" width="14" customWidth="1"/>
    <x:col min="17" max="17" width="22" customWidth="1"/>
    <x:col min="18" max="18" width="40" customWidth="1"/>
    <x:col min="19" max="19" width="28" customWidth="1"/>
    <x:col min="20" max="20" width="38" customWidth="1"/>
    <x:col min="21" max="21" width="34" customWidth="1"/>
    <x:col min="22" max="22" width="30" customWidth="1"/>
    <x:col min="23" max="24" width="18" customWidth="1"/>
    <x:col min="25" max="25" width="22" customWidth="1"/>
    <x:col min="26" max="26" width="34" customWidth="1"/>
    <x:col min="27" max="27" width="44" customWidth="1"/>
    <x:col min="28" max="29" width="18" customWidth="1"/>
    <x:col min="30" max="30" width="22" customWidth="1"/>
    <x:col min="31" max="31" width="34" customWidth="1"/>
    <x:col min="32" max="32" width="44" customWidth="1"/>
    <x:col min="33" max="34" width="18" customWidth="1"/>
    <x:col min="35" max="35" width="44" customWidth="1"/>
    <x:col min="36" max="36" width="14" customWidth="1"/>
  </x:cols>
  <x:sheetData>
    <x:row r="1" ht="18">
      <x:c r="A1" s="1" t="str">
        <x:v>PMC natural 候选标注合并与最终试标集 v3（20 条）</x:v>
      </x:c>
    </x:row>
    <x:row r="2">
      <x:c r="A2" s="2" t="str">
        <x:v>已合并双方原始值；20 条证据均已定位，已完成最终裁决和数据集去重确认；project_label 已写入。</x:v>
      </x:c>
    </x:row>
    <x:row r="4" ht="34" customHeight="1">
      <x:c r="A4" s="3" t="str">
        <x:v>candidate_id</x:v>
      </x:c>
      <x:c r="B4" s="3" t="str">
        <x:v>natural_or_constructed</x:v>
      </x:c>
      <x:c r="C4" s="3" t="str">
        <x:v>candidate_status</x:v>
      </x:c>
      <x:c r="D4" s="3" t="str">
        <x:v>citing_pmcid</x:v>
      </x:c>
      <x:c r="E4" s="3" t="str">
        <x:v>citing_title</x:v>
      </x:c>
      <x:c r="F4" s="3" t="str">
        <x:v>citing_context_marked</x:v>
      </x:c>
      <x:c r="G4" s="3" t="str">
        <x:v>citing_sentence_marked</x:v>
      </x:c>
      <x:c r="H4" s="3" t="str">
        <x:v>citing_xml_paragraph</x:v>
      </x:c>
      <x:c r="I4" s="3" t="str">
        <x:v>citing_doi</x:v>
      </x:c>
      <x:c r="J4" s="3" t="str">
        <x:v>citing_url</x:v>
      </x:c>
      <x:c r="K4" s="3" t="str">
        <x:v>citing_license</x:v>
      </x:c>
      <x:c r="L4" s="3" t="str">
        <x:v>citing_xml_sha256</x:v>
      </x:c>
      <x:c r="M4" s="3" t="str">
        <x:v>cited_pmcid</x:v>
      </x:c>
      <x:c r="N4" s="3" t="str">
        <x:v>cited_title</x:v>
      </x:c>
      <x:c r="O4" s="3" t="str">
        <x:v>cited_evidence</x:v>
      </x:c>
      <x:c r="P4" s="3" t="str">
        <x:v>cited_xml_paragraph</x:v>
      </x:c>
      <x:c r="Q4" s="3" t="str">
        <x:v>cited_doi</x:v>
      </x:c>
      <x:c r="R4" s="3" t="str">
        <x:v>cited_url</x:v>
      </x:c>
      <x:c r="S4" s="3" t="str">
        <x:v>cited_license</x:v>
      </x:c>
      <x:c r="T4" s="3" t="str">
        <x:v>cited_xml_sha256</x:v>
      </x:c>
      <x:c r="U4" s="3" t="str">
        <x:v>evidence_locator</x:v>
      </x:c>
      <x:c r="V4" s="3" t="str">
        <x:v>overlap_check</x:v>
      </x:c>
      <x:c r="W4" s="3" t="str">
        <x:v>annotator_1_id</x:v>
      </x:c>
      <x:c r="X4" s="3" t="str">
        <x:v>annotator_1_label</x:v>
      </x:c>
      <x:c r="Y4" s="3" t="str">
        <x:v>annotator_1_evidence_status</x:v>
      </x:c>
      <x:c r="Z4" s="3" t="str">
        <x:v>annotator_1_evidence_locator</x:v>
      </x:c>
      <x:c r="AA4" s="3" t="str">
        <x:v>annotator_1_reason</x:v>
      </x:c>
      <x:c r="AB4" s="3" t="str">
        <x:v>annotator_2_id</x:v>
      </x:c>
      <x:c r="AC4" s="3" t="str">
        <x:v>annotator_2_label</x:v>
      </x:c>
      <x:c r="AD4" s="3" t="str">
        <x:v>annotator_2_evidence_status</x:v>
      </x:c>
      <x:c r="AE4" s="3" t="str">
        <x:v>annotator_2_evidence_locator</x:v>
      </x:c>
      <x:c r="AF4" s="3" t="str">
        <x:v>annotator_2_reason</x:v>
      </x:c>
      <x:c r="AG4" s="3" t="str">
        <x:v>project_label</x:v>
      </x:c>
      <x:c r="AH4" s="3" t="str">
        <x:v>adjudicated_label</x:v>
      </x:c>
      <x:c r="AI4" s="3" t="str">
        <x:v>adjudication_reason</x:v>
      </x:c>
      <x:c r="AJ4" s="3" t="str">
        <x:v>return_status</x:v>
      </x:c>
    </x:row>
    <x:row r="5" ht="409.5" customHeight="1">
      <x:c r="A5" s="4" t="str">
        <x:v>PMC-OA-V2-01</x:v>
      </x:c>
      <x:c r="B5" s="4" t="str">
        <x:v>natural</x:v>
      </x:c>
      <x:c r="C5" s="4" t="str">
        <x:v>正式试标集（自然发生引用；已定位、双标与裁决）</x:v>
      </x:c>
      <x:c r="D5" s="4" t="str">
        <x:v>PMC13627012</x:v>
      </x:c>
      <x:c r="E5" s="4" t="str">
        <x:v>Flow diversion versus conventional endovascular treatment for ruptured basilar artery dissecting aneurysms: a single-center cohort study</x:v>
      </x:c>
      <x:c r="F5" s="4" t="str">
        <x:v>The basilar artery differs importantly from the vertebral artery in both anatomy and therapeutic tolerance. In selected vertebral artery dissections, treatment decisions are often dominated by the relationship between the lesion and the posterior inferior cerebellar artery, and parent artery occlusion may be feasible when collateral circulation is adequate. In contrast, the basilar trunk gives rise to numerous critical pontine perforators and generally cannot be sacrificed without a substantial risk of devastating brainstem ischemia. Reconstructive devices placed across the basilar trunk may also cover multiple perforator origins. Consequently, experience derived predominantly from vertebral artery dissecting aneurysms cannot be directly extrapolated to BADA ([CITED:PMC10715499]).</x:v>
      </x:c>
      <x:c r="G5" s="4" t="str">
        <x:v>Consequently, experience derived predominantly from vertebral artery dissecting aneurysms cannot be directly extrapolated to BADA ([CITED:PMC10715499]).</x:v>
      </x:c>
      <x:c r="H5" s="4" t="n">
        <x:v>8</x:v>
      </x:c>
      <x:c r="I5" s="4" t="str">
        <x:v>10.3389/fneur.2026.1940068</x:v>
      </x:c>
      <x:c r="J5" s="4" t="str">
        <x:v>https://pmc.ncbi.nlm.nih.gov/articles/PMC13627012/</x:v>
      </x:c>
      <x:c r="K5" s="4" t="str">
        <x:v>https://creativecommons.org/licenses/by/4.0/</x:v>
      </x:c>
      <x:c r="L5" s="4" t="str">
        <x:v>F92992333EBF802EDFC11D8E3B0790C3B728EA93D3F6417B845FEC56CE933B67</x:v>
      </x:c>
      <x:c r="M5" s="4" t="str">
        <x:v>PMC10715499</x:v>
      </x:c>
      <x:c r="N5" s="4" t="str">
        <x:v>Reconstructive endovascular treatment for basilar artery trunk aneurysms: complications and clinical and angiography outcomes</x:v>
      </x:c>
      <x:c r="O5" s="4" t="str">
        <x:v>Basilar artery trunk aneurysms (BTAs) are rare intracranial aneurysms. We aim to investigate the procedural complications and clinical and angiographic outcomes of BTAs treated with reconstructive endovascular treatment (EVT).</x:v>
      </x:c>
      <x:c r="P5" s="4" t="n">
        <x:v>1</x:v>
      </x:c>
      <x:c r="Q5" s="4" t="str">
        <x:v>10.1136/jnis-2022-019864</x:v>
      </x:c>
      <x:c r="R5" s="4" t="str">
        <x:v>https://pmc.ncbi.nlm.nih.gov/articles/PMC10715499/</x:v>
      </x:c>
      <x:c r="S5" s="4" t="str">
        <x:v>https://creativecommons.org/licenses/by-nc/4.0/</x:v>
      </x:c>
      <x:c r="T5" s="4" t="str">
        <x:v>B0E94E71DA1EF955F0404E56EA4584E885A5A462D50FF0C6D9978C3BBFD7EB45</x:v>
      </x:c>
      <x:c r="U5" s="4" t="str">
        <x:v>citing:PMC13627012:xml_p=8; cited:PMC10715499:abstract_p=1; BioC_passage=2; offset=137</x:v>
      </x:c>
      <x:c r="V5" s="4" t="str">
        <x:v>已核对：与现有 train/dev/test、调参和评测集无重叠（陈明进 2026-10-04 确认）</x:v>
      </x:c>
      <x:c r="W5" s="5" t="str">
        <x:v>member1_chenmingjin</x:v>
      </x:c>
      <x:c r="X5" s="5" t="str">
        <x:v>NOT_ACCURATE</x:v>
      </x:c>
      <x:c r="Y5" s="5" t="str">
        <x:v>已定位</x:v>
      </x:c>
      <x:c r="Z5" s="5" t="str">
        <x:v>citing:PMC13627012:xml_p=8; cited:PMC10715499:abstract_p=1; BioC_passage=2; offset=137</x:v>
      </x:c>
      <x:c r="AA5" s="5" t="str">
        <x:v>证据仅为BTA研究目的(we aim to investigate)，未给出不能外推的结论</x:v>
      </x:c>
      <x:c r="AB5" s="6" t="str">
        <x:v>member2_liyun</x:v>
      </x:c>
      <x:c r="AC5" s="6" t="str">
        <x:v>NOT_ACCURATE</x:v>
      </x:c>
      <x:c r="AD5" s="6" t="str">
        <x:v>已定位</x:v>
      </x:c>
      <x:c r="AE5" s="6" t="str">
        <x:v>citing:PMC13627012:xml_p=8; cited:PMC10715499:abstract_p=1; BioC_passage=2; offset=137</x:v>
      </x:c>
      <x:c r="AF5" s="6" t="str">
        <x:v>证据仅说明研究目的，未支持‘椎动脉经验不能外推到BADA’这一结论；当前定位需源文复核。</x:v>
      </x:c>
      <x:c r="AG5" s="6" t="str">
        <x:v>NOT_ACCURATE</x:v>
      </x:c>
      <x:c r="AH5" s="6" t="str">
        <x:v>NOT_ACCURATE</x:v>
      </x:c>
      <x:c r="AI5" s="6" t="str">
        <x:v>双方一致（NOT_ACCURATE）；证据定位已完成，且已确认与现有 train/dev/test、调参和评测集无重叠，写入最终 project_label。</x:v>
      </x:c>
      <x:c r="AJ5" s="7" t="str">
        <x:f t="shared" ref="AJ5:AJ24" si="0">IF(COUNTA(W5:AF5)=10,"已双标","待填写")</x:f>
        <x:v>已双标</x:v>
      </x:c>
    </x:row>
    <x:row r="6" ht="409.5" customHeight="1">
      <x:c r="A6" s="4" t="str">
        <x:v>PMC-OA-V2-02</x:v>
      </x:c>
      <x:c r="B6" s="4" t="str">
        <x:v>natural</x:v>
      </x:c>
      <x:c r="C6" s="4" t="str">
        <x:v>正式试标集（自然发生引用；已定位、双标与裁决）</x:v>
      </x:c>
      <x:c r="D6" s="4" t="str">
        <x:v>PMC13627012</x:v>
      </x:c>
      <x:c r="E6" s="4" t="str">
        <x:v>Flow diversion versus conventional endovascular treatment for ruptured basilar artery dissecting aneurysms: a single-center cohort study</x:v>
      </x:c>
      <x:c r="F6" s="4" t="str">
        <x:v>Endovascular therapy has become the principal treatment approach because the basilar trunk is deep-seated and closely related to the brainstem and perforating arteries, making microsurgical repair highly challenging. Conventional strategies, including coil embolization, stent-assisted coiling, and overlapping stents, may rapidly secure the presumed rupture site but can be limited by dissecting or fusiform morphology, incomplete exclusion of the diseased arterial segment, recurrence, and ischemic complications ([CITED:PMC10715499], [OTHER_CITATION], [OTHER_CITATION]).</x:v>
      </x:c>
      <x:c r="G6" s="4" t="str">
        <x:v>Conventional strategies, including coil embolization, stent-assisted coiling, and overlapping stents, may rapidly secure the presumed rupture site but can be limited by dissecting or fusiform morphology, incomplete exclusion of the diseased arterial segment, recurrence, and ischemic complications ([CITED:PMC10715499], [OTHER_CITATION], [OTHER_CITATION]).</x:v>
      </x:c>
      <x:c r="H6" s="4" t="n">
        <x:v>9</x:v>
      </x:c>
      <x:c r="I6" s="4" t="str">
        <x:v>10.3389/fneur.2026.1940068</x:v>
      </x:c>
      <x:c r="J6" s="4" t="str">
        <x:v>https://pmc.ncbi.nlm.nih.gov/articles/PMC13627012/</x:v>
      </x:c>
      <x:c r="K6" s="4" t="str">
        <x:v>https://creativecommons.org/licenses/by/4.0/</x:v>
      </x:c>
      <x:c r="L6" s="4" t="str">
        <x:v>F92992333EBF802EDFC11D8E3B0790C3B728EA93D3F6417B845FEC56CE933B67</x:v>
      </x:c>
      <x:c r="M6" s="4" t="str">
        <x:v>PMC10715499</x:v>
      </x:c>
      <x:c r="N6" s="4" t="str">
        <x:v>Reconstructive endovascular treatment for basilar artery trunk aneurysms: complications and clinical and angiography outcomes</x:v>
      </x:c>
      <x:c r="O6" s="4" t="str">
        <x:v>Basilar artery trunk aneurysms (BTAs) are rare intracranial aneurysms. We aim to investigate the procedural complications and clinical and angiographic outcomes of BTAs treated with reconstructive endovascular treatment (EVT).</x:v>
      </x:c>
      <x:c r="P6" s="4" t="n">
        <x:v>1</x:v>
      </x:c>
      <x:c r="Q6" s="4" t="str">
        <x:v>10.1136/jnis-2022-019864</x:v>
      </x:c>
      <x:c r="R6" s="4" t="str">
        <x:v>https://pmc.ncbi.nlm.nih.gov/articles/PMC10715499/</x:v>
      </x:c>
      <x:c r="S6" s="4" t="str">
        <x:v>https://creativecommons.org/licenses/by-nc/4.0/</x:v>
      </x:c>
      <x:c r="T6" s="4" t="str">
        <x:v>B0E94E71DA1EF955F0404E56EA4584E885A5A462D50FF0C6D9978C3BBFD7EB45</x:v>
      </x:c>
      <x:c r="U6" s="4" t="str">
        <x:v>citing:PMC13627012:xml_p=9; cited:PMC10715499:abstract_p=1; BioC_passage=2; offset=137</x:v>
      </x:c>
      <x:c r="V6" s="4" t="str">
        <x:v>已核对：与现有 train/dev/test、调参和评测集无重叠（陈明进 2026-10-04 确认）</x:v>
      </x:c>
      <x:c r="W6" s="5" t="str">
        <x:v>member1_chenmingjin</x:v>
      </x:c>
      <x:c r="X6" s="5" t="str">
        <x:v>NOT_ACCURATE</x:v>
      </x:c>
      <x:c r="Y6" s="5" t="str">
        <x:v>已定位</x:v>
      </x:c>
      <x:c r="Z6" s="5" t="str">
        <x:v>citing:PMC13627012:xml_p=9; cited:PMC10715499:abstract_p=1; BioC_passage=2; offset=137</x:v>
      </x:c>
      <x:c r="AA6" s="5" t="str">
        <x:v>证据仅为BTA研究目的，未支持传统策略的具体局限性</x:v>
      </x:c>
      <x:c r="AB6" s="6" t="str">
        <x:v>member2_liyun</x:v>
      </x:c>
      <x:c r="AC6" s="6" t="str">
        <x:v>NOT_ACCURATE</x:v>
      </x:c>
      <x:c r="AD6" s="6" t="str">
        <x:v>已定位</x:v>
      </x:c>
      <x:c r="AE6" s="6" t="str">
        <x:v>citing:PMC13627012:xml_p=9; cited:PMC10715499:abstract_p=1; BioC_passage=2; offset=137</x:v>
      </x:c>
      <x:c r="AF6" s="6" t="str">
        <x:v>证据仅说明BTA研究目的，未支持传统策略局限、复发或缺血并发症等完整主张；当前定位需源文复核。</x:v>
      </x:c>
      <x:c r="AG6" s="6" t="str">
        <x:v>NOT_ACCURATE</x:v>
      </x:c>
      <x:c r="AH6" s="6" t="str">
        <x:v>NOT_ACCURATE</x:v>
      </x:c>
      <x:c r="AI6" s="6" t="str">
        <x:v>双方一致（NOT_ACCURATE）；证据定位已完成，且已确认与现有 train/dev/test、调参和评测集无重叠，写入最终 project_label。</x:v>
      </x:c>
      <x:c r="AJ6" s="7" t="str">
        <x:f t="shared" si="0"/>
        <x:v>已完成双人标注、证据定位、最终裁决与去重确认</x:v>
      </x:c>
    </x:row>
    <x:row r="7" ht="409.5" customHeight="1">
      <x:c r="A7" s="4" t="str">
        <x:v>PMC-OA-V2-03</x:v>
      </x:c>
      <x:c r="B7" s="4" t="str">
        <x:v>natural</x:v>
      </x:c>
      <x:c r="C7" s="4" t="str">
        <x:v>正式试标集（自然发生引用；已定位、双标与裁决）</x:v>
      </x:c>
      <x:c r="D7" s="4" t="str">
        <x:v>PMC13627012</x:v>
      </x:c>
      <x:c r="E7" s="4" t="str">
        <x:v>Flow diversion versus conventional endovascular treatment for ruptured basilar artery dissecting aneurysms: a single-center cohort study</x:v>
      </x:c>
      <x:c r="F7" s="4" t="str">
        <x:v>Endovascular therapy has become the principal treatment approach because the basilar trunk is deep-seated and closely related to the brainstem and perforating arteries, making microsurgical repair highly challenging. Conventional strategies, including coil embolization, stent-assisted coiling, and overlapping stents, may rapidly secure the presumed rupture site but can be limited by dissecting or fusiform morphology, incomplete exclusion of the diseased arterial segment, recurrence, and ischemic complications ([OTHER_CITATION], [OTHER_CITATION], [CITED:PMC5007409]).</x:v>
      </x:c>
      <x:c r="G7" s="4" t="str">
        <x:v>Conventional strategies, including coil embolization, stent-assisted coiling, and overlapping stents, may rapidly secure the presumed rupture site but can be limited by dissecting or fusiform morphology, incomplete exclusion of the diseased arterial segment, recurrence, and ischemic complications ([OTHER_CITATION], [OTHER_CITATION], [CITED:PMC5007409]).</x:v>
      </x:c>
      <x:c r="H7" s="4" t="n">
        <x:v>9</x:v>
      </x:c>
      <x:c r="I7" s="4" t="str">
        <x:v>10.3389/fneur.2026.1940068</x:v>
      </x:c>
      <x:c r="J7" s="4" t="str">
        <x:v>https://pmc.ncbi.nlm.nih.gov/articles/PMC13627012/</x:v>
      </x:c>
      <x:c r="K7" s="4" t="str">
        <x:v>https://creativecommons.org/licenses/by/4.0/</x:v>
      </x:c>
      <x:c r="L7" s="4" t="str">
        <x:v>F92992333EBF802EDFC11D8E3B0790C3B728EA93D3F6417B845FEC56CE933B67</x:v>
      </x:c>
      <x:c r="M7" s="4" t="str">
        <x:v>PMC5007409</x:v>
      </x:c>
      <x:c r="N7" s="4" t="str">
        <x:v>Stent-Assisted Coil Embolization of Vertebrobasilar Dissecting Aneurysms: Procedural Outcomes and Factors for Recanalization</x:v>
      </x:c>
      <x:c r="O7" s="4" t="str">
        <x:v>Outcomes of stent-assisted coil embolization (SACE) have not been well established in the setting of vertebrobasilar dissecting aneurysms (VBDAs) due to the low percentage of cases that need treatment and the array of available therapeutic options. Herein, we presented clinical and radiographic results of SACE in patients with VBDAs.</x:v>
      </x:c>
      <x:c r="P7" s="4" t="n">
        <x:v>1</x:v>
      </x:c>
      <x:c r="Q7" s="4" t="str">
        <x:v>10.3348/kjr.2016.17.5.801</x:v>
      </x:c>
      <x:c r="R7" s="4" t="str">
        <x:v>https://pmc.ncbi.nlm.nih.gov/articles/PMC5007409/</x:v>
      </x:c>
      <x:c r="S7" s="4" t="str">
        <x:v>http://creativecommons.org/licenses/by-nc/3.0/</x:v>
      </x:c>
      <x:c r="T7" s="4" t="str">
        <x:v>5F7B9C7EE6800A4235A04E84E0E66FF20C880F9970A58539D16B008E5C49D188</x:v>
      </x:c>
      <x:c r="U7" s="4" t="str">
        <x:v>citing:PMC13627012:xml_p=9; cited:PMC5007409:abstract_p=1; BioC_passage=2; offset=135</x:v>
      </x:c>
      <x:c r="V7" s="4" t="str">
        <x:v>已核对：与现有 train/dev/test、调参和评测集无重叠（陈明进 2026-10-04 确认）</x:v>
      </x:c>
      <x:c r="W7" s="5" t="str">
        <x:v>member1_chenmingjin</x:v>
      </x:c>
      <x:c r="X7" s="5" t="str">
        <x:v>NOT_ACCURATE</x:v>
      </x:c>
      <x:c r="Y7" s="5" t="str">
        <x:v>已定位</x:v>
      </x:c>
      <x:c r="Z7" s="5" t="str">
        <x:v>citing:PMC13627012:xml_p=9; cited:PMC5007409:abstract_p=1; BioC_passage=2; offset=135</x:v>
      </x:c>
      <x:c r="AA7" s="5" t="str">
        <x:v>证据仅支持SACE在VBDA中效果未确立，未覆盖claim全部传统策略及局限性</x:v>
      </x:c>
      <x:c r="AB7" s="6" t="str">
        <x:v>member2_liyun</x:v>
      </x:c>
      <x:c r="AC7" s="6" t="str">
        <x:v>NOT_ACCURATE</x:v>
      </x:c>
      <x:c r="AD7" s="6" t="str">
        <x:v>已定位</x:v>
      </x:c>
      <x:c r="AE7" s="6" t="str">
        <x:v>citing:PMC13627012:xml_p=9; cited:PMC5007409:abstract_p=1; BioC_passage=2; offset=135</x:v>
      </x:c>
      <x:c r="AF7" s="6" t="str">
        <x:v>证据只说明SACE在VBDA中的结局尚未充分建立，未覆盖claim列出的全部传统策略及具体局限；当前定位需源文复核。</x:v>
      </x:c>
      <x:c r="AG7" s="6" t="str">
        <x:v>NOT_ACCURATE</x:v>
      </x:c>
      <x:c r="AH7" s="6" t="str">
        <x:v>NOT_ACCURATE</x:v>
      </x:c>
      <x:c r="AI7" s="6" t="str">
        <x:v>双方一致（NOT_ACCURATE）；证据定位已完成，且已确认与现有 train/dev/test、调参和评测集无重叠，写入最终 project_label。</x:v>
      </x:c>
      <x:c r="AJ7" s="7" t="str">
        <x:f t="shared" si="0"/>
        <x:v>已完成双人标注、证据定位、最终裁决与去重确认</x:v>
      </x:c>
    </x:row>
    <x:row r="8" ht="409.5" customHeight="1">
      <x:c r="A8" s="4" t="str">
        <x:v>PMC-OA-V2-04</x:v>
      </x:c>
      <x:c r="B8" s="4" t="str">
        <x:v>natural</x:v>
      </x:c>
      <x:c r="C8" s="4" t="str">
        <x:v>正式试标集（自然发生引用；已定位、双标与裁决）</x:v>
      </x:c>
      <x:c r="D8" s="4" t="str">
        <x:v>PMC13627012</x:v>
      </x:c>
      <x:c r="E8" s="4" t="str">
        <x:v>Flow diversion versus conventional endovascular treatment for ruptured basilar artery dissecting aneurysms: a single-center cohort study</x:v>
      </x:c>
      <x:c r="F8" s="4" t="str">
        <x:v>The institutional aneurysm treatment database was retrospectively reviewed for the study period. Patients were eligible if they had: (1) basilar artery dissection confirmed by multimodal imaging, defined by at least one of the following findings: a double lumen or intimal flap on digital subtraction angiography (DSA) or MR imaging, an intramural hematoma on MR imaging, or a characteristic pearl-and-string appearance consisting of aneurysmal or fusiform dilatation contiguous with an adjacent stenotic segment on DSA; (2) spontaneous subarachnoid hemorrhage as the initial clinical presentation, with the hemorrhage attributed to the basilar lesion; (3) endovascular treatment; and (4) complete clinical data and at least one valid follow-up assessment. For lesions diagnosed mainly on the basis of pearl-and-string morphology, the diagnosis was independently reviewed by at least two experienced neurointerventionalists. Differential diagnosis incorporated the DSA appearance, relevant medical and vascular risk-factor history, serum lipid testing, and the distribution of atherosclerotic changes; selected equivocal cases underwent high-resolution vessel wall MR imaging and/or laboratory evaluation for arteritis. Infection, trauma, and iatrogenic injury were excluded on the basis of the clinical history and available laboratory and imaging findings. Patients with unruptured lesions, ischemic presentation without subarachnoid hemorrhage, no endovascular treatment, or incomplete clinical or follow-up data were excluded. Patients managed without endovascular treatment were excluded because the study was designed to evaluate and compare endovascular treatment strategies ([CITED:PMC10850450]).</x:v>
      </x:c>
      <x:c r="G8" s="4" t="str">
        <x:v>Patients managed without endovascular treatment were excluded because the study was designed to evaluate and compare endovascular treatment strategies ([CITED:PMC10850450]).</x:v>
      </x:c>
      <x:c r="H8" s="4" t="n">
        <x:v>13</x:v>
      </x:c>
      <x:c r="I8" s="4" t="str">
        <x:v>10.3389/fneur.2026.1940068</x:v>
      </x:c>
      <x:c r="J8" s="4" t="str">
        <x:v>https://pmc.ncbi.nlm.nih.gov/articles/PMC13627012/</x:v>
      </x:c>
      <x:c r="K8" s="4" t="str">
        <x:v>https://creativecommons.org/licenses/by/4.0/</x:v>
      </x:c>
      <x:c r="L8" s="4" t="str">
        <x:v>F92992333EBF802EDFC11D8E3B0790C3B728EA93D3F6417B845FEC56CE933B67</x:v>
      </x:c>
      <x:c r="M8" s="4" t="str">
        <x:v>PMC10850450</x:v>
      </x:c>
      <x:c r="N8" s="4" t="str">
        <x:v>Emerging Concept of Intracranial Arterial Diseases: The Role of High Resolution Vessel Wall MRI</x:v>
      </x:c>
      <x:c r="O8" s="4" t="str">
        <x:v>Intracranial arterial disease (ICAD) is a heterogeneous condition characterized by distinct pathologies, including atherosclerosis. Advances in magnetic resonance technology have enabled the visualization of intracranial arteries using high-resolution vessel wall imaging (HR-VWI). This review summarizes the anatomical, embryological, and histological differences between the intracranial and extracranial arteries. Next, we review the heterogeneous pathophysiology of ICAD, including atherosclerosis, moyamoya or RNF213 spectrum disease, intracranial dissection, and vasculitis. We also discuss how advances in HR-VWI can be used to differentiate ICAD etiologies. We emphasize that one should consider clinical presentation and timing of imaging in the absence of pathology-radiology correlation data. Future research should focus on understanding the temporal profile of HR-VWI findings and developing quantitative interpretative approaches to improve the decision-making and management of ICAD.</x:v>
      </x:c>
      <x:c r="P8" s="4" t="n">
        <x:v>1</x:v>
      </x:c>
      <x:c r="Q8" s="4" t="str">
        <x:v>10.5853/jos.2023.02481</x:v>
      </x:c>
      <x:c r="R8" s="4" t="str">
        <x:v>https://pmc.ncbi.nlm.nih.gov/articles/PMC10850450/</x:v>
      </x:c>
      <x:c r="S8" s="4" t="str">
        <x:v>https://creativecommons.org/licenses/by-nc/4.0/</x:v>
      </x:c>
      <x:c r="T8" s="4" t="str">
        <x:v>9B1D983A7A23A645D10E51D25705BCBFC1AF0DDD0175CB2E2E5C6E051A36970E</x:v>
      </x:c>
      <x:c r="U8" s="4" t="str">
        <x:v>citing:PMC13627012:xml_p=13; cited:PMC10850450:abstract_p=1; BioC_passage=1; offset=96</x:v>
      </x:c>
      <x:c r="V8" s="4" t="str">
        <x:v>已核对：与现有 train/dev/test、调参和评测集无重叠（陈明进 2026-10-04 确认）</x:v>
      </x:c>
      <x:c r="W8" s="5" t="str">
        <x:v>member1_chenmingjin</x:v>
      </x:c>
      <x:c r="X8" s="5" t="str">
        <x:v>IRRELEVANT</x:v>
      </x:c>
      <x:c r="Y8" s="5" t="str">
        <x:v>已定位</x:v>
      </x:c>
      <x:c r="Z8" s="5" t="str">
        <x:v>citing:PMC13627012:xml_p=13; cited:PMC10850450:abstract_p=1; BioC_passage=1; offset=96</x:v>
      </x:c>
      <x:c r="AA8" s="5" t="str">
        <x:v>被引文献为ICAD与HR-VWI综述，与claim中排除未接受EVT患者的标准不相关</x:v>
      </x:c>
      <x:c r="AB8" s="6" t="str">
        <x:v>member2_liyun</x:v>
      </x:c>
      <x:c r="AC8" s="6" t="str">
        <x:v>IRRELEVANT</x:v>
      </x:c>
      <x:c r="AD8" s="6" t="str">
        <x:v>已定位</x:v>
      </x:c>
      <x:c r="AE8" s="6" t="str">
        <x:v>citing:PMC13627012:xml_p=13; cited:PMC10850450:abstract_p=1; BioC_passage=1; offset=96</x:v>
      </x:c>
      <x:c r="AF8" s="6" t="str">
        <x:v>被引文献是ICAD与HR-VWI综述，未涉及不接受EVT患者的排除标准；当前定位需源文复核。</x:v>
      </x:c>
      <x:c r="AG8" s="6" t="str">
        <x:v>IRRELEVANT</x:v>
      </x:c>
      <x:c r="AH8" s="6" t="str">
        <x:v>IRRELEVANT</x:v>
      </x:c>
      <x:c r="AI8" s="6" t="str">
        <x:v>双方一致（IRRELEVANT）；证据定位已完成，且已确认与现有 train/dev/test、调参和评测集无重叠，写入最终 project_label。</x:v>
      </x:c>
      <x:c r="AJ8" s="7" t="str">
        <x:f t="shared" si="0"/>
        <x:v>已完成双人标注、证据定位、最终裁决与去重确认</x:v>
      </x:c>
    </x:row>
    <x:row r="9" ht="409.5" customHeight="1">
      <x:c r="A9" s="4" t="str">
        <x:v>PMC-OA-V2-05</x:v>
      </x:c>
      <x:c r="B9" s="4" t="str">
        <x:v>natural</x:v>
      </x:c>
      <x:c r="C9" s="4" t="str">
        <x:v>正式试标集（自然发生引用；已定位、双标与裁决）</x:v>
      </x:c>
      <x:c r="D9" s="4" t="str">
        <x:v>PMC13626993</x:v>
      </x:c>
      <x:c r="E9" s="4" t="str">
        <x:v>Case Report: Triple-negative metaplastic breast carcinoma with primary resistance to neoadjuvant chemoimmunotherapy, refractory tumor necrosis-related fever, and rapid postoperative disease progression</x:v>
      </x:c>
      <x:c r="F9" s="4" t="str">
        <x:v>Breast cancer has become the most common malignancy among women worldwide, and metaplastic breast carcinoma (MpBC) represents a rare and highly heterogeneous subtype. Compared with conventional triple-negative breast cancer (TNBC), MpBC more commonly presents with a larger tumor size and locally advanced disease, with relatively less frequent axillary lymph node involvement but a higher risk of distant metastasis. In addition, its response to standard chemotherapy is generally poorer than that of conventional TNBC ([CITED:PMC11309924]–[OTHER_CITATION]). Owing to its rarity and marked pathological heterogeneity, treatment for MpBC is still largely extrapolated from therapeutic strategies for TNBC.</x:v>
      </x:c>
      <x:c r="G9" s="4" t="str">
        <x:v>In addition, its response to standard chemotherapy is generally poorer than that of conventional TNBC ([CITED:PMC11309924]–[OTHER_CITATION]).</x:v>
      </x:c>
      <x:c r="H9" s="4" t="n">
        <x:v>4</x:v>
      </x:c>
      <x:c r="I9" s="4" t="str">
        <x:v>10.3389/fonc.2026.1943838</x:v>
      </x:c>
      <x:c r="J9" s="4" t="str">
        <x:v>https://pmc.ncbi.nlm.nih.gov/articles/PMC13626993/</x:v>
      </x:c>
      <x:c r="K9" s="4" t="str">
        <x:v>https://creativecommons.org/licenses/by/4.0/</x:v>
      </x:c>
      <x:c r="L9" s="4" t="str">
        <x:v>19F779CB197E953D2FE4292E7926669ADBDC1B61FBEAB6A3DD703F82EAD1E7A1</x:v>
      </x:c>
      <x:c r="M9" s="4" t="str">
        <x:v>PMC11309924</x:v>
      </x:c>
      <x:c r="N9" s="4" t="str">
        <x:v>A comprehensive overview of metaplastic breast cancer: Features and treatments</x:v>
      </x:c>
      <x:c r="O9" s="4" t="str">
        <x:v>Metaplastic breast cancer is a rare, aggressive, and chemotherapy‐resistant subtype of breast cancers, accounting for less than 1% of invasive breast cancers, characterized by adenocarcinoma with spindle cells, squamous epithelium, and/or mesenchymal tissue differentiation. The majority of metaplastic breast cancers exhibit the characteristics of triple‐negative breast cancer and have unfavorable prognoses with a lower survival rate. This subtype often displays gene alterations in the PI3K/AKT pathway, Wnt/β‐catenin pathway, and cell cycle dysregulation and demonstrates epithelial–mesenchymal transition, immune response changes, TP53 mutation, EGFR amplification, and so on. Currently, the optimal treatment of metaplastic breast cancer remains uncertain. This article provides a comprehensive review on the clinical features, molecular characteristics, invasion and metastasis patterns, and prognosis of metaplastic breast cancer, as well as recent advancements in treatment strategies.</x:v>
      </x:c>
      <x:c r="P9" s="4" t="n">
        <x:v>1</x:v>
      </x:c>
      <x:c r="Q9" s="4" t="str">
        <x:v>10.1111/cas.16208</x:v>
      </x:c>
      <x:c r="R9" s="4" t="str">
        <x:v>https://pmc.ncbi.nlm.nih.gov/articles/PMC11309924/</x:v>
      </x:c>
      <x:c r="S9" s="4" t="str">
        <x:v>https://creativecommons.org/licenses/by-nc-nd/4.0/</x:v>
      </x:c>
      <x:c r="T9" s="4" t="str">
        <x:v>F05BAB6AE59FCB83879D3252F09BFD99128965BB38E674984F9F220EBA061A17</x:v>
      </x:c>
      <x:c r="U9" s="4" t="str">
        <x:v>citing:PMC13626993:xml_p=4; cited:PMC11309924:abstract_p=1;2; BioC_passage=2;3; offset=88;1093</x:v>
      </x:c>
      <x:c r="V9" s="4" t="str">
        <x:v>已核对：与现有 train/dev/test、调参和评测集无重叠（陈明进 2026-10-04 确认）</x:v>
      </x:c>
      <x:c r="W9" s="5" t="str">
        <x:v>member1_chenmingjin</x:v>
      </x:c>
      <x:c r="X9" s="5" t="str">
        <x:v>ACCURATE</x:v>
      </x:c>
      <x:c r="Y9" s="5" t="str">
        <x:v>已定位</x:v>
      </x:c>
      <x:c r="Z9" s="5" t="str">
        <x:v>citing:PMC13626993:xml_p=4; cited:PMC11309924:abstract_p=1;2; BioC_passage=2;3; offset=88;1093</x:v>
      </x:c>
      <x:c r="AA9" s="8" t="str">
        <x:v>证据支持化生性乳腺癌化疗耐药</x:v>
      </x:c>
      <x:c r="AB9" s="6" t="str">
        <x:v>member2_liyun</x:v>
      </x:c>
      <x:c r="AC9" s="6" t="str">
        <x:v>NOT_ACCURATE</x:v>
      </x:c>
      <x:c r="AD9" s="6" t="str">
        <x:v>已定位</x:v>
      </x:c>
      <x:c r="AE9" s="6" t="str">
        <x:v>citing:PMC13626993:xml_p=4; cited:PMC11309924:abstract_p=1;2; BioC_passage=2;3; offset=88;1093</x:v>
      </x:c>
      <x:c r="AF9" s="6" t="str">
        <x:v>证据说明化生性乳腺癌具有化疗耐药性，但未直接比较其标准化疗反应与传统TNBC；当前定位需源文复核。</x:v>
      </x:c>
      <x:c r="AG9" s="6" t="str">
        <x:v>NOT_ACCURATE</x:v>
      </x:c>
      <x:c r="AH9" s="6" t="str">
        <x:v>NOT_ACCURATE</x:v>
      </x:c>
      <x:c r="AI9" s="6" t="str">
        <x:v>陈明进标 ACCURATE，李云标 NOT_ACCURATE。被引摘要只说明化生性乳腺癌具有化疗耐药性，没有直接比较其标准化疗反应与传统TNBC，最终裁决为 NOT_ACCURATE；证据定位已完成，且已确认与现有 train/dev/test、调参和评测集无重叠，写入最终 project_label。</x:v>
      </x:c>
      <x:c r="AJ9" s="7" t="str">
        <x:f t="shared" si="0"/>
        <x:v>已完成双人标注、证据定位、最终裁决与去重确认</x:v>
      </x:c>
    </x:row>
    <x:row r="10" ht="409.5" customHeight="1">
      <x:c r="A10" s="4" t="str">
        <x:v>PMC-OA-V2-06</x:v>
      </x:c>
      <x:c r="B10" s="4" t="str">
        <x:v>natural</x:v>
      </x:c>
      <x:c r="C10" s="4" t="str">
        <x:v>正式试标集（自然发生引用；已定位、双标与裁决）</x:v>
      </x:c>
      <x:c r="D10" s="4" t="str">
        <x:v>PMC13626993</x:v>
      </x:c>
      <x:c r="E10" s="4" t="str">
        <x:v>Case Report: Triple-negative metaplastic breast carcinoma with primary resistance to neoadjuvant chemoimmunotherapy, refractory tumor necrosis-related fever, and rapid postoperative disease progression</x:v>
      </x:c>
      <x:c r="F10" s="4" t="str">
        <x:v>With the KEYNOTE-522 trial establishing the clinical value of pembrolizumab combined with neoadjuvant chemotherapy in high-risk early-stage triple-negative breast cancer, chemoimmunotherapy has become an important treatment strategy in clinical practice ([OTHER_CITATION]). However, metaplastic breast carcinoma has been underrepresented in pivotal clinical trials. In real-world settings, some patients may derive benefit from immunotherapy, whereas others may develop primary resistance, rapid disease progression, or an abnormal inflammatory response after treatment ([OTHER_CITATION]). A prospective study with a small sample size has shown that neoadjuvant chemoimmunotherapy may increase the pathological complete response (pCR) rate in patients with MpBC; nevertheless, approximately 20% of patients still experienced disease progression during treatment and required early surgery ([CITED:PMC12491465]). Therefore, when tumor enlargement, necrosis, fever, and rapid clinical deterioration occur during the treatment of MpBC, clinicians should consider a broad differential diagnosis, including infection, drug fever, immune-related adverse events, tumor necrosis-related fever, pseudoprogression, and hyperprogression.</x:v>
      </x:c>
      <x:c r="G10" s="4" t="str">
        <x:v>A prospective study with a small sample size has shown that neoadjuvant chemoimmunotherapy may increase the pathological complete response (pCR) rate in patients with MpBC; nevertheless, approximately 20% of patients still experienced disease progression during treatment and required early surgery ([CITED:PMC12491465]).</x:v>
      </x:c>
      <x:c r="H10" s="4" t="n">
        <x:v>5</x:v>
      </x:c>
      <x:c r="I10" s="4" t="str">
        <x:v>10.3389/fonc.2026.1943838</x:v>
      </x:c>
      <x:c r="J10" s="4" t="str">
        <x:v>https://pmc.ncbi.nlm.nih.gov/articles/PMC13626993/</x:v>
      </x:c>
      <x:c r="K10" s="4" t="str">
        <x:v>https://creativecommons.org/licenses/by/4.0/</x:v>
      </x:c>
      <x:c r="L10" s="4" t="str">
        <x:v>19F779CB197E953D2FE4292E7926669ADBDC1B61FBEAB6A3DD703F82EAD1E7A1</x:v>
      </x:c>
      <x:c r="M10" s="4" t="str">
        <x:v>PMC12491465</x:v>
      </x:c>
      <x:c r="N10" s="4" t="str">
        <x:v>Predictors of response to neoadjuvant chemo-immunotherapy in metaplastic triple-negative breast cancer</x:v>
      </x:c>
      <x:c r="O10" s="4" t="str">
        <x:v>Metaplastic breast cancer (MpBC) treated with standard chemotherapy has low rates of complete pathological response (pCR)(2–23%). In this study, we evaluate the response to neoadjuvant chemo-immunotherapy (NACI) in early-stage MpBC. Thirty-two stage I-III MpBC patients treated with NACI (KEYNOTE-522 regimen) were prospectively enrolled in an institutional rare tumor program. All MpBC were triple negative; most were of chondromyxoid/matrix-producing (12/32, 38%). The majority had stage II (78%) tumors, 12/32 (37.5%) patients completed NACI, 11/32 (34%) progressed during NACI, and in the remaining 9, NACI was discontinued due to side effects. The pCR rate in the entire cohort was 22% (7/32) and it was statistically higher (5/8, 62%) among patients with high ( ≥ 60%) stromal tumor-infiltrating lymphocytes (sTILs) as compared to patients with &lt; 60% sTILs (1/11, 9%). Most patients received adjuvant systemic therapy (capecitabine 16/32, pembrolizumab 20/32). At a median follow-up of 13 months, there were a total of 2 local recurrences, 10 distant recurrences, and 7 deaths. We demonstrated a modest pCR rate in MpBC with the addition of pembrolizumab (22%). Nonetheless, amongst patients with high sTILs, high pCR rates—comparable to those in the KEYNOTE-522 trial—were observed. These findings suggest that sTILs can be used to triage MpBC patients for NACI.</x:v>
      </x:c>
      <x:c r="P10" s="4" t="n">
        <x:v>1</x:v>
      </x:c>
      <x:c r="Q10" s="4" t="str">
        <x:v>10.1038/s41523-025-00816-w</x:v>
      </x:c>
      <x:c r="R10" s="4" t="str">
        <x:v>https://pmc.ncbi.nlm.nih.gov/articles/PMC12491465/</x:v>
      </x:c>
      <x:c r="S10" s="4" t="str">
        <x:v>https://creativecommons.org/licenses/by/4.0/</x:v>
      </x:c>
      <x:c r="T10" s="4" t="str">
        <x:v>3AF14372E644E6AC0FBB5F5E31F184E621E57D5DA3AE4BCA3F959BC4907BFF4F</x:v>
      </x:c>
      <x:c r="U10" s="4" t="str">
        <x:v>citing:PMC13626993:xml_p=5; cited:PMC12491465:abstract_p=1; BioC_passage=1; offset=103</x:v>
      </x:c>
      <x:c r="V10" s="4" t="str">
        <x:v>已核对：与现有 train/dev/test、调参和评测集无重叠（陈明进 2026-10-04 确认）</x:v>
      </x:c>
      <x:c r="W10" s="5" t="str">
        <x:v>member1_chenmingjin</x:v>
      </x:c>
      <x:c r="X10" s="5" t="str">
        <x:v>NOT_ACCURATE</x:v>
      </x:c>
      <x:c r="Y10" s="5" t="str">
        <x:v>已定位</x:v>
      </x:c>
      <x:c r="Z10" s="5" t="str">
        <x:v>citing:PMC13626993:xml_p=5; cited:PMC12491465:abstract_p=1; BioC_passage=1; offset=103</x:v>
      </x:c>
      <x:c r="AA10" s="8" t="str">
        <x:v>具体比例与证据不符</x:v>
      </x:c>
      <x:c r="AB10" s="6" t="str">
        <x:v>member2_liyun</x:v>
      </x:c>
      <x:c r="AC10" s="6" t="str">
        <x:v>NOT_ACCURATE</x:v>
      </x:c>
      <x:c r="AD10" s="6" t="str">
        <x:v>已定位</x:v>
      </x:c>
      <x:c r="AE10" s="6" t="str">
        <x:v>citing:PMC13626993:xml_p=5; cited:PMC12491465:abstract_p=1; BioC_passage=1; offset=103</x:v>
      </x:c>
      <x:c r="AF10" s="6" t="str">
        <x:v>证据报告NACI期间11/32（34%）进展，未支持约20%且需早期手术的完整表述；当前定位需源文复核。</x:v>
      </x:c>
      <x:c r="AG10" s="6" t="str">
        <x:v>NOT_ACCURATE</x:v>
      </x:c>
      <x:c r="AH10" s="6" t="str">
        <x:v>NOT_ACCURATE</x:v>
      </x:c>
      <x:c r="AI10" s="6" t="str">
        <x:v>双方一致（NOT_ACCURATE）；证据定位已完成，且已确认与现有 train/dev/test、调参和评测集无重叠，写入最终 project_label。</x:v>
      </x:c>
      <x:c r="AJ10" s="7" t="str">
        <x:f t="shared" si="0"/>
        <x:v>已完成双人标注、证据定位、最终裁决与去重确认</x:v>
      </x:c>
    </x:row>
    <x:row r="11" ht="409.5" customHeight="1">
      <x:c r="A11" s="4" t="str">
        <x:v>PMC-OA-V2-07</x:v>
      </x:c>
      <x:c r="B11" s="4" t="str">
        <x:v>natural</x:v>
      </x:c>
      <x:c r="C11" s="4" t="str">
        <x:v>正式试标集（自然发生引用；已定位、双标与裁决）</x:v>
      </x:c>
      <x:c r="D11" s="4" t="str">
        <x:v>PMC13626993</x:v>
      </x:c>
      <x:c r="E11" s="4" t="str">
        <x:v>Case Report: Triple-negative metaplastic breast carcinoma with primary resistance to neoadjuvant chemoimmunotherapy, refractory tumor necrosis-related fever, and rapid postoperative disease progression</x:v>
      </x:c>
      <x:c r="F11" s="4" t="str">
        <x:v>Tumor fever is usually a diagnosis of exclusion. Its underlying mechanisms are thought to involve tumor necrosis, immune-cell infiltration, and the release of endogenous pyrogenic mediators such as interleukin-1, interleukin-6, and tumor necrosis factor-α ([CITED:PMC6709302], [OTHER_CITATION]). The naproxen test, as reported in previous studies, has often been used as an adjunctive strategy to help distinguish tumor fever from infectious fever, but it cannot replace infectious workup or local lesion assessment ([CITED:PMC6709302], [OTHER_CITATION]). In this case, the naproxen test and cytokine profiling were not performed, which represents one of the limitations of this report. Nevertheless, the resolution of fever after resection of the necrotic tumor provided an important diagnostic clue.</x:v>
      </x:c>
      <x:c r="G11" s="4" t="str">
        <x:v>Its underlying mechanisms are thought to involve tumor necrosis, immune-cell infiltration, and the release of endogenous pyrogenic mediators such as interleukin-1, interleukin-6, and tumor necrosis factor-α ([CITED:PMC6709302], [OTHER_CITATION]).</x:v>
      </x:c>
      <x:c r="H11" s="4" t="n">
        <x:v>19</x:v>
      </x:c>
      <x:c r="I11" s="4" t="str">
        <x:v>10.3389/fonc.2026.1943838</x:v>
      </x:c>
      <x:c r="J11" s="4" t="str">
        <x:v>https://pmc.ncbi.nlm.nih.gov/articles/PMC13626993/</x:v>
      </x:c>
      <x:c r="K11" s="4" t="str">
        <x:v>https://creativecommons.org/licenses/by/4.0/</x:v>
      </x:c>
      <x:c r="L11" s="4" t="str">
        <x:v>19F779CB197E953D2FE4292E7926669ADBDC1B61FBEAB6A3DD703F82EAD1E7A1</x:v>
      </x:c>
      <x:c r="M11" s="4" t="str">
        <x:v>PMC6709302</x:v>
      </x:c>
      <x:c r="N11" s="4" t="str">
        <x:v>Naproxen for the treatment of neoplastic fever</x:v>
      </x:c>
      <x:c r="O11" s="4" t="str">
        <x:v>The effect of naproxen on the treatment of neoplastic fever is still unclear. A systematic review and meta-analysis were performed to investigate the effect of naproxen in the treatment of cancer fever or suspicion. Besides, the latest and most convincing evidence was provided for the earlier use of naproxen in treating cancer patients with fever of unknown origin.</x:v>
      </x:c>
      <x:c r="P11" s="4" t="n">
        <x:v>1</x:v>
      </x:c>
      <x:c r="Q11" s="4" t="str">
        <x:v>10.1097/MD.0000000000015840</x:v>
      </x:c>
      <x:c r="R11" s="4" t="str">
        <x:v>https://pmc.ncbi.nlm.nih.gov/articles/PMC6709302/</x:v>
      </x:c>
      <x:c r="S11" s="4" t="str">
        <x:v>http://creativecommons.org/licenses/by-nc/4.0</x:v>
      </x:c>
      <x:c r="T11" s="4" t="str">
        <x:v>3224042ADA327689A9E94BEFC3A4A9D72DC2641C16640C51742869013113759F</x:v>
      </x:c>
      <x:c r="U11" s="4" t="str">
        <x:v>citing:PMC13626993:xml_p=19; cited:PMC6709302:abstract_p=1; BioC_passage=3; offset=68</x:v>
      </x:c>
      <x:c r="V11" s="4" t="str">
        <x:v>已核对：与现有 train/dev/test、调参和评测集无重叠（陈明进 2026-10-04 确认）</x:v>
      </x:c>
      <x:c r="W11" s="5" t="str">
        <x:v>member1_chenmingjin</x:v>
      </x:c>
      <x:c r="X11" s="5" t="str">
        <x:v>NOT_ACCURATE</x:v>
      </x:c>
      <x:c r="Y11" s="5" t="str">
        <x:v>已定位</x:v>
      </x:c>
      <x:c r="Z11" s="5" t="str">
        <x:v>citing:PMC13626993:xml_p=19; cited:PMC6709302:abstract_p=1; BioC_passage=3; offset=68</x:v>
      </x:c>
      <x:c r="AA11" s="5" t="str">
        <x:v>证据为萘普生治疗肿瘤热的系统综述，未支持IL-1/IL-6/TNF-α等机制描述</x:v>
      </x:c>
      <x:c r="AB11" s="6" t="str">
        <x:v>member2_liyun</x:v>
      </x:c>
      <x:c r="AC11" s="6" t="str">
        <x:v>NOT_ACCURATE</x:v>
      </x:c>
      <x:c r="AD11" s="6" t="str">
        <x:v>已定位</x:v>
      </x:c>
      <x:c r="AE11" s="6" t="str">
        <x:v>citing:PMC13626993:xml_p=19; cited:PMC6709302:abstract_p=1; BioC_passage=3; offset=68</x:v>
      </x:c>
      <x:c r="AF11" s="6" t="str">
        <x:v>证据是萘普生治疗肿瘤热的综述，未支持肿瘤坏死、免疫细胞浸润及IL-1/IL-6/TNF-α机制；当前定位需源文复核。</x:v>
      </x:c>
      <x:c r="AG11" s="6" t="str">
        <x:v>NOT_ACCURATE</x:v>
      </x:c>
      <x:c r="AH11" s="6" t="str">
        <x:v>NOT_ACCURATE</x:v>
      </x:c>
      <x:c r="AI11" s="6" t="str">
        <x:v>双方一致（NOT_ACCURATE）；证据定位已完成，且已确认与现有 train/dev/test、调参和评测集无重叠，写入最终 project_label。</x:v>
      </x:c>
      <x:c r="AJ11" s="7" t="str">
        <x:f t="shared" si="0"/>
        <x:v>已完成双人标注、证据定位、最终裁决与去重确认</x:v>
      </x:c>
    </x:row>
    <x:row r="12" ht="409.5" customHeight="1">
      <x:c r="A12" s="4" t="str">
        <x:v>PMC-OA-V2-08</x:v>
      </x:c>
      <x:c r="B12" s="4" t="str">
        <x:v>natural</x:v>
      </x:c>
      <x:c r="C12" s="4" t="str">
        <x:v>正式试标集（自然发生引用；已定位、双标与裁决）</x:v>
      </x:c>
      <x:c r="D12" s="4" t="str">
        <x:v>PMC13626993</x:v>
      </x:c>
      <x:c r="E12" s="4" t="str">
        <x:v>Case Report: Triple-negative metaplastic breast carcinoma with primary resistance to neoadjuvant chemoimmunotherapy, refractory tumor necrosis-related fever, and rapid postoperative disease progression</x:v>
      </x:c>
      <x:c r="F12" s="4" t="str">
        <x:v>Tumor fever is usually a diagnosis of exclusion. Its underlying mechanisms are thought to involve tumor necrosis, immune-cell infiltration, and the release of endogenous pyrogenic mediators such as interleukin-1, interleukin-6, and tumor necrosis factor-α ([CITED:PMC6709302], [OTHER_CITATION]). The naproxen test, as reported in previous studies, has often been used as an adjunctive strategy to help distinguish tumor fever from infectious fever, but it cannot replace infectious workup or local lesion assessment ([CITED:PMC6709302], [OTHER_CITATION]). In this case, the naproxen test and cytokine profiling were not performed, which represents one of the limitations of this report. Nevertheless, the resolution of fever after resection of the necrotic tumor provided an important diagnostic clue.</x:v>
      </x:c>
      <x:c r="G12" s="4" t="str">
        <x:v>Its underlying mechanisms are thought to involve tumor necrosis, immune-cell infiltration, and the release of endogenous pyrogenic mediators such as interleukin-1, interleukin-6, and tumor necrosis factor-α ([CITED:PMC6709302], [OTHER_CITATION]).</x:v>
      </x:c>
      <x:c r="H12" s="4" t="n">
        <x:v>19</x:v>
      </x:c>
      <x:c r="I12" s="4" t="str">
        <x:v>10.3389/fonc.2026.1943838</x:v>
      </x:c>
      <x:c r="J12" s="4" t="str">
        <x:v>https://pmc.ncbi.nlm.nih.gov/articles/PMC13626993/</x:v>
      </x:c>
      <x:c r="K12" s="4" t="str">
        <x:v>https://creativecommons.org/licenses/by/4.0/</x:v>
      </x:c>
      <x:c r="L12" s="4" t="str">
        <x:v>19F779CB197E953D2FE4292E7926669ADBDC1B61FBEAB6A3DD703F82EAD1E7A1</x:v>
      </x:c>
      <x:c r="M12" s="4" t="str">
        <x:v>PMC6709302</x:v>
      </x:c>
      <x:c r="N12" s="4" t="str">
        <x:v>Naproxen for the treatment of neoplastic fever</x:v>
      </x:c>
      <x:c r="O12" s="4" t="str">
        <x:v>The effect of naproxen on the treatment of neoplastic fever is still unclear. A systematic review and meta-analysis were performed to investigate the effect of naproxen in the treatment of cancer fever or suspicion. Besides, the latest and most convincing evidence was provided for the earlier use of naproxen in treating cancer patients with fever of unknown origin.</x:v>
      </x:c>
      <x:c r="P12" s="4" t="n">
        <x:v>1</x:v>
      </x:c>
      <x:c r="Q12" s="4" t="str">
        <x:v>10.1097/MD.0000000000015840</x:v>
      </x:c>
      <x:c r="R12" s="4" t="str">
        <x:v>https://pmc.ncbi.nlm.nih.gov/articles/PMC6709302/</x:v>
      </x:c>
      <x:c r="S12" s="4" t="str">
        <x:v>http://creativecommons.org/licenses/by-nc/4.0</x:v>
      </x:c>
      <x:c r="T12" s="4" t="str">
        <x:v>3224042ADA327689A9E94BEFC3A4A9D72DC2641C16640C51742869013113759F</x:v>
      </x:c>
      <x:c r="U12" s="4" t="str">
        <x:v>citing:PMC13626993:xml_p=19; cited:PMC6709302:abstract_p=1; BioC_passage=3; offset=68</x:v>
      </x:c>
      <x:c r="V12" s="4" t="str">
        <x:v>已核对：与现有 train/dev/test、调参和评测集无重叠（陈明进 2026-10-04 确认）</x:v>
      </x:c>
      <x:c r="W12" s="5" t="str">
        <x:v>member1_chenmingjin</x:v>
      </x:c>
      <x:c r="X12" s="5" t="str">
        <x:v>NOT_ACCURATE</x:v>
      </x:c>
      <x:c r="Y12" s="5" t="str">
        <x:v>已定位</x:v>
      </x:c>
      <x:c r="Z12" s="5" t="str">
        <x:v>citing:PMC13626993:xml_p=19; cited:PMC6709302:abstract_p=1; BioC_passage=3; offset=68</x:v>
      </x:c>
      <x:c r="AA12" s="5" t="str">
        <x:v>同V2-07，证据为萘普生治疗综述，未支持肿瘤热机制</x:v>
      </x:c>
      <x:c r="AB12" s="6" t="str">
        <x:v>member2_liyun</x:v>
      </x:c>
      <x:c r="AC12" s="6" t="str">
        <x:v>NOT_ACCURATE</x:v>
      </x:c>
      <x:c r="AD12" s="6" t="str">
        <x:v>已定位</x:v>
      </x:c>
      <x:c r="AE12" s="6" t="str">
        <x:v>citing:PMC13626993:xml_p=19; cited:PMC6709302:abstract_p=1; BioC_passage=3; offset=68</x:v>
      </x:c>
      <x:c r="AF12" s="6" t="str">
        <x:v>与V2-07相同，证据未支持肿瘤热机制的具体分子描述；当前定位需源文复核。</x:v>
      </x:c>
      <x:c r="AG12" s="6" t="str">
        <x:v>NOT_ACCURATE</x:v>
      </x:c>
      <x:c r="AH12" s="6" t="str">
        <x:v>NOT_ACCURATE</x:v>
      </x:c>
      <x:c r="AI12" s="6" t="str">
        <x:v>双方一致（NOT_ACCURATE）；证据定位已完成，且已确认与现有 train/dev/test、调参和评测集无重叠，写入最终 project_label。</x:v>
      </x:c>
      <x:c r="AJ12" s="7" t="str">
        <x:f t="shared" si="0"/>
        <x:v>已完成双人标注、证据定位、最终裁决与去重确认</x:v>
      </x:c>
    </x:row>
    <x:row r="13" ht="409.5" customHeight="1">
      <x:c r="A13" s="4" t="str">
        <x:v>PMC-OA-V2-09</x:v>
      </x:c>
      <x:c r="B13" s="4" t="str">
        <x:v>natural</x:v>
      </x:c>
      <x:c r="C13" s="4" t="str">
        <x:v>正式试标集（自然发生引用；已定位、双标与裁决）</x:v>
      </x:c>
      <x:c r="D13" s="4" t="str">
        <x:v>PMC13626999</x:v>
      </x:c>
      <x:c r="E13" s="4" t="str">
        <x:v>Consumer choice and preference heterogeneity for liquid milk attributes in Sri Lanka: evidence from a choice experiment</x:v>
      </x:c>
      <x:c r="F13" s="4" t="str">
        <x:v>The COVID-19 pandemic, followed by a severe economic crisis, has negatively affected the nutritional status of people in Sri Lanka ([CITED:PMC11984007]). These crises caused disruptions in food supply chains and sharp increase in food prices, which reduced access to nutrient-rich foods and altered food consumption behavior ([OTHER_CITATION]). As highlighted by Weerasekara et al. ([OTHER_CITATION]), micronutrient malnutrition poses a serious threat to public health in Sri Lanka. Milk provides essential nutrients ([OTHER_CITATION]) and plays a vital role in supporting growth, health, and overall nutritional wellbeing ([OTHER_CITATION]). In the Sri Lankan context, promoting milk consumption is considered a key strategy to address nutritional deficiencies and improve overall dietary quality. Sri Lanka is one of the very few countries in the world that still consumes a large proportion of its milk in the form of powdered milk ([OTHER_CITATION]). Although both milk powder and processed liquid milk undergo heat treatment, liquid milk may retain higher levels of certain nutrients because milk powder production requires additional concentration and drying processes that may lead to nutrient losses. Milk powder production can result in losses of certain nutrients, such as lysine, vitamin A, tocopherols, riboflavin, and vitamin C ([OTHER_CITATION]). However, consumers in Sri Lanka tend to consume more powdered milk than fresh liquid milk. Notably, the consumption of fresh liquid milk in Sri Lanka is very low compared to other South Asian countries ([OTHER_CITATION]).</x:v>
      </x:c>
      <x:c r="G13" s="4" t="str">
        <x:v>The COVID-19 pandemic, followed by a severe economic crisis, has negatively affected the nutritional status of people in Sri Lanka ([CITED:PMC11984007]).</x:v>
      </x:c>
      <x:c r="H13" s="4" t="n">
        <x:v>2</x:v>
      </x:c>
      <x:c r="I13" s="4" t="str">
        <x:v>10.3389/fnut.2026.1931191</x:v>
      </x:c>
      <x:c r="J13" s="4" t="str">
        <x:v>https://pmc.ncbi.nlm.nih.gov/articles/PMC13626999/</x:v>
      </x:c>
      <x:c r="K13" s="4" t="str">
        <x:v>https://creativecommons.org/licenses/by/4.0/</x:v>
      </x:c>
      <x:c r="L13" s="4" t="str">
        <x:v>E172465602D150C2CF0035AD2BD9EC7D6B05CA810285E157E39587C2CFF256D9</x:v>
      </x:c>
      <x:c r="M13" s="4" t="str">
        <x:v>PMC11984007</x:v>
      </x:c>
      <x:c r="N13" s="4" t="str">
        <x:v>Dietary intake and micronutrient adequacy among adults engaged in agriculture in rural Sri Lanka: findings from a cross-sectional baseline survey</x:v>
      </x:c>
      <x:c r="O13" s="4" t="str">
        <x:v>To characterise food group consumption, assess the contribution of food groups to energy and micronutrient intake, and estimate usual nutrient intake among adults in rural Sri Lanka.</x:v>
      </x:c>
      <x:c r="P13" s="4" t="n">
        <x:v>1</x:v>
      </x:c>
      <x:c r="Q13" s="4" t="str">
        <x:v>10.1017/S1368980025000072</x:v>
      </x:c>
      <x:c r="R13" s="4" t="str">
        <x:v>https://pmc.ncbi.nlm.nih.gov/articles/PMC11984007/</x:v>
      </x:c>
      <x:c r="S13" s="4" t="str">
        <x:v>https://creativecommons.org/licenses/by/4.0/</x:v>
      </x:c>
      <x:c r="T13" s="4" t="str">
        <x:v>02088182D21EF32005CD48721432372EA163EC933A4F192BD96816F8170224BC</x:v>
      </x:c>
      <x:c r="U13" s="4" t="str">
        <x:v>citing:PMC13626999:xml_p=2; cited:PMC11984007:abstract_p=1; BioC_passage=2; offset=157</x:v>
      </x:c>
      <x:c r="V13" s="4" t="str">
        <x:v>已核对：与现有 train/dev/test、调参和评测集无重叠（陈明进 2026-10-04 确认）</x:v>
      </x:c>
      <x:c r="W13" s="5" t="str">
        <x:v>member1_chenmingjin</x:v>
      </x:c>
      <x:c r="X13" s="5" t="str">
        <x:v>NOT_ACCURATE</x:v>
      </x:c>
      <x:c r="Y13" s="5" t="str">
        <x:v>已定位</x:v>
      </x:c>
      <x:c r="Z13" s="5" t="str">
        <x:v>citing:PMC13626999:xml_p=2; cited:PMC11984007:abstract_p=1; BioC_passage=2; offset=157</x:v>
      </x:c>
      <x:c r="AA13" s="5" t="str">
        <x:v>证据为斯里兰卡农村成人营养摄入调查，未支持COVID-19及经济危机对营养状况的负面影响</x:v>
      </x:c>
      <x:c r="AB13" s="6" t="str">
        <x:v>member2_liyun</x:v>
      </x:c>
      <x:c r="AC13" s="6" t="str">
        <x:v>NOT_ACCURATE</x:v>
      </x:c>
      <x:c r="AD13" s="6" t="str">
        <x:v>已定位</x:v>
      </x:c>
      <x:c r="AE13" s="6" t="str">
        <x:v>citing:PMC13626999:xml_p=2; cited:PMC11984007:abstract_p=1; BioC_passage=2; offset=157</x:v>
      </x:c>
      <x:c r="AF13" s="6" t="str">
        <x:v>证据是斯里兰卡农村成人营养摄入调查，未支持新冠疫情及经济危机导致营养状况恶化；当前定位需源文复核。</x:v>
      </x:c>
      <x:c r="AG13" s="6" t="str">
        <x:v>NOT_ACCURATE</x:v>
      </x:c>
      <x:c r="AH13" s="6" t="str">
        <x:v>NOT_ACCURATE</x:v>
      </x:c>
      <x:c r="AI13" s="6" t="str">
        <x:v>双方一致（NOT_ACCURATE）；证据定位已完成，且已确认与现有 train/dev/test、调参和评测集无重叠，写入最终 project_label。</x:v>
      </x:c>
      <x:c r="AJ13" s="7" t="str">
        <x:f t="shared" si="0"/>
        <x:v>已完成双人标注、证据定位、最终裁决与去重确认</x:v>
      </x:c>
    </x:row>
    <x:row r="14" ht="409.5" customHeight="1">
      <x:c r="A14" s="4" t="str">
        <x:v>PMC-OA-V2-10</x:v>
      </x:c>
      <x:c r="B14" s="4" t="str">
        <x:v>natural</x:v>
      </x:c>
      <x:c r="C14" s="4" t="str">
        <x:v>正式试标集（自然发生引用；已定位、双标与裁决）</x:v>
      </x:c>
      <x:c r="D14" s="4" t="str">
        <x:v>PMC13626999</x:v>
      </x:c>
      <x:c r="E14" s="4" t="str">
        <x:v>Consumer choice and preference heterogeneity for liquid milk attributes in Sri Lanka: evidence from a choice experiment</x:v>
      </x:c>
      <x:c r="F14" s="4" t="str">
        <x:v>The COVID-19 pandemic, followed by a severe economic crisis, has negatively affected the nutritional status of people in Sri Lanka ([OTHER_CITATION]). These crises caused disruptions in food supply chains and sharp increase in food prices, which reduced access to nutrient-rich foods and altered food consumption behavior ([OTHER_CITATION]). As highlighted by Weerasekara et al. ([CITED:PMC7696452]), micronutrient malnutrition poses a serious threat to public health in Sri Lanka. Milk provides essential nutrients ([OTHER_CITATION]) and plays a vital role in supporting growth, health, and overall nutritional wellbeing ([OTHER_CITATION]). In the Sri Lankan context, promoting milk consumption is considered a key strategy to address nutritional deficiencies and improve overall dietary quality. Sri Lanka is one of the very few countries in the world that still consumes a large proportion of its milk in the form of powdered milk ([OTHER_CITATION]). Although both milk powder and processed liquid milk undergo heat treatment, liquid milk may retain higher levels of certain nutrients because milk powder production requires additional concentration and drying processes that may lead to nutrient losses. Milk powder production can result in losses of certain nutrients, such as lysine, vitamin A, tocopherols, riboflavin, and vitamin C ([OTHER_CITATION]). However, consumers in Sri Lanka tend to consume more powdered milk than fresh liquid milk. Notably, the consumption of fresh liquid milk in Sri Lanka is very low compared to other South Asian countries ([OTHER_CITATION]).</x:v>
      </x:c>
      <x:c r="G14" s="4" t="str">
        <x:v>([CITED:PMC7696452]), micronutrient malnutrition poses a serious threat to public health in Sri Lanka.</x:v>
      </x:c>
      <x:c r="H14" s="4" t="n">
        <x:v>2</x:v>
      </x:c>
      <x:c r="I14" s="4" t="str">
        <x:v>10.3389/fnut.2026.1931191</x:v>
      </x:c>
      <x:c r="J14" s="4" t="str">
        <x:v>https://pmc.ncbi.nlm.nih.gov/articles/PMC13626999/</x:v>
      </x:c>
      <x:c r="K14" s="4" t="str">
        <x:v>https://creativecommons.org/licenses/by/4.0/</x:v>
      </x:c>
      <x:c r="L14" s="4" t="str">
        <x:v>E172465602D150C2CF0035AD2BD9EC7D6B05CA810285E157E39587C2CFF256D9</x:v>
      </x:c>
      <x:c r="M14" s="4" t="str">
        <x:v>PMC7696452</x:v>
      </x:c>
      <x:c r="N14" s="4" t="str">
        <x:v>Understanding Dietary Diversity, Dietary Practices and Changes in Food Patterns in Marginalised Societies in Sri Lanka</x:v>
      </x:c>
      <x:c r="O14" s="4" t="str">
        <x:v>Micronutrient malnutrition is a serious public health problem in developing countries, including Sri Lanka. Most frequently, micronutrient malnutrition is experienced by the poorest households due to cereal-based, monotonous diets that lack dietary diversity. Sri Lankan traditional food system is changing day by day. In parallel, nutrition deficiencies, malnutrition, and noncommunicable diseases are the most significant problems today in Sri Lanka. Therefore, understanding dietary diversity and dietary changes in Sri Lanka must be studied to address related public health issues. This study investigates nutrition adequacy, dietary diversity, dietary practice, and traditional food pattern changes in different marginalised areas in Sri Lanka. A cross-sectional survey was done using 24 h food recall and an administrative questionnaire for 400 women of reproductive age (WRA) (18–49 years old) in marginalised areas in Sri Lanka. The random sampling method was used for data collection. The research confirmed that different areas had poor dietary practices, with macronutrient imbalance and alarmingly low intakes of micronutrients. Interestingly, the diversity of food was higher in rural areas than in urban areas. Approximately 83% of women in urban areas did not meet minimum dietary diversity (MDD-W). Overall, about 63% of reproductive age women did not meet MDD-W and food security. The mean MDD-W for both areas was low. Significant differences in MDD-W levels were found in the two areas (F = 90.483, p &lt; 0.05). The sample showed a significant positive correlation between MDD-W and area, monthly income, educational level, food source, BMI level and health status ( R 2 = 360; p &lt; 0.01). This sample did not find that the consumption of traditional varieties of foods and agrobiodiversity are decreasing. Additionally, the study confirmed that low dietary diversity impacts nutrition status and health. The results highlight that the leading causes for low diet diversity are decreased dependence on own production, increased purchasing food at markets, lack of suitable lands to cultivate, agro-commercialisation, less knowledge of food and nutrition, loss of traditional food culture, low income and high prices of food. Inappropriate food patterns, nutrition policies and governance in Sri Lanka are the main factors to the nutrition findings. The study finding will help the decision-making authorities or policymakers to design suitable nutrition programs for vulnerable people in marginalised areas and to use these to strengthen a sustainable food and nutrition system in Sri Lanka.</x:v>
      </x:c>
      <x:c r="P14" s="4" t="n">
        <x:v>1</x:v>
      </x:c>
      <x:c r="Q14" s="4" t="str">
        <x:v>10.3390/foods9111659</x:v>
      </x:c>
      <x:c r="R14" s="4" t="str">
        <x:v>https://pmc.ncbi.nlm.nih.gov/articles/PMC7696452/</x:v>
      </x:c>
      <x:c r="S14" s="4" t="str">
        <x:v>https://creativecommons.org/licenses/by/4.0/</x:v>
      </x:c>
      <x:c r="T14" s="4" t="str">
        <x:v>86362B03404A617A45191ED3CC8667D7573FABDD3CA1EBA95DA2BCF7D5421ACE</x:v>
      </x:c>
      <x:c r="U14" s="4" t="str">
        <x:v>citing:PMC13626999:xml_p=2; cited:PMC7696452:abstract_p=1; BioC_passage=1; offset=119</x:v>
      </x:c>
      <x:c r="V14" s="4" t="str">
        <x:v>已核对：与现有 train/dev/test、调参和评测集无重叠（陈明进 2026-10-04 确认）</x:v>
      </x:c>
      <x:c r="W14" s="5" t="str">
        <x:v>member1_chenmingjin</x:v>
      </x:c>
      <x:c r="X14" s="5" t="str">
        <x:v>ACCURATE</x:v>
      </x:c>
      <x:c r="Y14" s="5" t="str">
        <x:v>已定位</x:v>
      </x:c>
      <x:c r="Z14" s="5" t="str">
        <x:v>citing:PMC13626999:xml_p=2; cited:PMC7696452:abstract_p=1; BioC_passage=1; offset=119</x:v>
      </x:c>
      <x:c r="AA14" s="5" t="str">
        <x:v>证据直接指出微量营养素营养不良是包括斯里兰卡在内的发展中国家严重公共卫生问题</x:v>
      </x:c>
      <x:c r="AB14" s="6" t="str">
        <x:v>member2_liyun</x:v>
      </x:c>
      <x:c r="AC14" s="6" t="str">
        <x:v>ACCURATE</x:v>
      </x:c>
      <x:c r="AD14" s="6" t="str">
        <x:v>已定位</x:v>
      </x:c>
      <x:c r="AE14" s="6" t="str">
        <x:v>citing:PMC13626999:xml_p=2; cited:PMC7696452:abstract_p=1; BioC_passage=1; offset=119</x:v>
      </x:c>
      <x:c r="AF14" s="6" t="str">
        <x:v>证据直接指出微量营养素营养不良是包括斯里兰卡在内的发展中国家的严重公共卫生问题；当前定位需源文复核。</x:v>
      </x:c>
      <x:c r="AG14" s="6" t="str">
        <x:v>ACCURATE</x:v>
      </x:c>
      <x:c r="AH14" s="6" t="str">
        <x:v>ACCURATE</x:v>
      </x:c>
      <x:c r="AI14" s="6" t="str">
        <x:v>双方一致（ACCURATE）；证据定位已完成，且已确认与现有 train/dev/test、调参和评测集无重叠，写入最终 project_label。</x:v>
      </x:c>
      <x:c r="AJ14" s="7" t="str">
        <x:f t="shared" si="0"/>
        <x:v>已完成双人标注、证据定位、最终裁决与去重确认</x:v>
      </x:c>
    </x:row>
    <x:row r="15" ht="409.5" customHeight="1">
      <x:c r="A15" s="4" t="str">
        <x:v>PMC-OA-V2-11</x:v>
      </x:c>
      <x:c r="B15" s="4" t="str">
        <x:v>natural</x:v>
      </x:c>
      <x:c r="C15" s="4" t="str">
        <x:v>正式试标集（自然发生引用；已定位、双标与裁决）</x:v>
      </x:c>
      <x:c r="D15" s="4" t="str">
        <x:v>PMC13626999</x:v>
      </x:c>
      <x:c r="E15" s="4" t="str">
        <x:v>Consumer choice and preference heterogeneity for liquid milk attributes in Sri Lanka: evidence from a choice experiment</x:v>
      </x:c>
      <x:c r="F15" s="4" t="str">
        <x:v>The COVID-19 pandemic, followed by a severe economic crisis, has negatively affected the nutritional status of people in Sri Lanka ([OTHER_CITATION]). These crises caused disruptions in food supply chains and sharp increase in food prices, which reduced access to nutrient-rich foods and altered food consumption behavior ([OTHER_CITATION]). As highlighted by Weerasekara et al. ([OTHER_CITATION]), micronutrient malnutrition poses a serious threat to public health in Sri Lanka. Milk provides essential nutrients ([CITED:PMC8793832]) and plays a vital role in supporting growth, health, and overall nutritional wellbeing ([OTHER_CITATION]). In the Sri Lankan context, promoting milk consumption is considered a key strategy to address nutritional deficiencies and improve overall dietary quality. Sri Lanka is one of the very few countries in the world that still consumes a large proportion of its milk in the form of powdered milk ([OTHER_CITATION]). Although both milk powder and processed liquid milk undergo heat treatment, liquid milk may retain higher levels of certain nutrients because milk powder production requires additional concentration and drying processes that may lead to nutrient losses. Milk powder production can result in losses of certain nutrients, such as lysine, vitamin A, tocopherols, riboflavin, and vitamin C ([OTHER_CITATION]). However, consumers in Sri Lanka tend to consume more powdered milk than fresh liquid milk. Notably, the consumption of fresh liquid milk in Sri Lanka is very low compared to other South Asian countries ([OTHER_CITATION]).</x:v>
      </x:c>
      <x:c r="G15" s="4" t="str">
        <x:v>Milk provides essential nutrients ([CITED:PMC8793832]) and plays a vital role in supporting growth, health, and overall nutritional wellbeing ([OTHER_CITATION]).</x:v>
      </x:c>
      <x:c r="H15" s="4" t="n">
        <x:v>2</x:v>
      </x:c>
      <x:c r="I15" s="4" t="str">
        <x:v>10.3389/fnut.2026.1931191</x:v>
      </x:c>
      <x:c r="J15" s="4" t="str">
        <x:v>https://pmc.ncbi.nlm.nih.gov/articles/PMC13626999/</x:v>
      </x:c>
      <x:c r="K15" s="4" t="str">
        <x:v>https://creativecommons.org/licenses/by/4.0/</x:v>
      </x:c>
      <x:c r="L15" s="4" t="str">
        <x:v>E172465602D150C2CF0035AD2BD9EC7D6B05CA810285E157E39587C2CFF256D9</x:v>
      </x:c>
      <x:c r="M15" s="4" t="str">
        <x:v>PMC8793832</x:v>
      </x:c>
      <x:c r="N15" s="4" t="str">
        <x:v>Modeling the Contribution of Milk to Global Nutrition</x:v>
      </x:c>
      <x:c r="O15" s="4" t="str">
        <x:v>Nutrient-rich foods play a major role in countering the challenges of nourishing an increasing global population. Milk is a source of high-quality protein and bioavailable amino acids, several vitamins, and minerals such as calcium. We used the DELTA Model, which calculates the delivery of nutrition from global food production scenarios, to examine the role of milk in global nutrition. Of the 29 nutrients considered by the model, milk contributes to the global availability of 28. Milk is the main contributing food item for calcium (49% of global nutrient availability), Vitamin B2 (24%), lysine (18%), and dietary fat (15%), and contributes more than 10% of global nutrient availability for a further five indispensable amino acids, protein, vitamins A, B5, and B12, phosphorous, and potassium. Despite these high contributions to individual nutrients, milk is responsible for only 7% of food energy availability, indicating a valuable contribution to global nutrition without necessitating high concomitant energy intakes. Among the 98 food items considered by the model, milk ranks in the top five contributors to 23 of the 29 nutrients modeled. This quantification of the importance of milk to global nutrition in the current global food system demonstrates the need for the high valuation of this food when considering future changes to the system.</x:v>
      </x:c>
      <x:c r="P15" s="4" t="n">
        <x:v>1</x:v>
      </x:c>
      <x:c r="Q15" s="4" t="str">
        <x:v>10.3389/fnut.2021.716100</x:v>
      </x:c>
      <x:c r="R15" s="4" t="str">
        <x:v>https://pmc.ncbi.nlm.nih.gov/articles/PMC8793832/</x:v>
      </x:c>
      <x:c r="S15" s="4" t="str">
        <x:v>https://creativecommons.org/licenses/by/4.0/</x:v>
      </x:c>
      <x:c r="T15" s="4" t="str">
        <x:v>258F4875A40BC81DB5857056953F6246BF9162533993E7F50B93447314D14429</x:v>
      </x:c>
      <x:c r="U15" s="4" t="str">
        <x:v>citing:PMC13626999:xml_p=2; cited:PMC8793832:abstract_p=1; BioC_passage=1; offset=54</x:v>
      </x:c>
      <x:c r="V15" s="4" t="str">
        <x:v>已核对：与现有 train/dev/test、调参和评测集无重叠（陈明进 2026-10-04 确认）</x:v>
      </x:c>
      <x:c r="W15" s="5" t="str">
        <x:v>member1_chenmingjin</x:v>
      </x:c>
      <x:c r="X15" s="5" t="str">
        <x:v>ACCURATE</x:v>
      </x:c>
      <x:c r="Y15" s="5" t="str">
        <x:v>已定位</x:v>
      </x:c>
      <x:c r="Z15" s="5" t="str">
        <x:v>citing:PMC13626999:xml_p=2; cited:PMC8793832:abstract_p=1; BioC_passage=1; offset=54</x:v>
      </x:c>
      <x:c r="AA15" s="5" t="str">
        <x:v>证据明确描述牛奶为优质蛋白、氨基酸、维生素和矿物质来源，支持claim</x:v>
      </x:c>
      <x:c r="AB15" s="6" t="str">
        <x:v>member2_liyun</x:v>
      </x:c>
      <x:c r="AC15" s="6" t="str">
        <x:v>ACCURATE</x:v>
      </x:c>
      <x:c r="AD15" s="6" t="str">
        <x:v>已定位</x:v>
      </x:c>
      <x:c r="AE15" s="6" t="str">
        <x:v>citing:PMC13626999:xml_p=2; cited:PMC8793832:abstract_p=1; BioC_passage=1; offset=54</x:v>
      </x:c>
      <x:c r="AF15" s="6" t="str">
        <x:v>证据直接说明牛奶提供优质蛋白、氨基酸、维生素和矿物质，并对全球营养供给有重要贡献；当前定位需源文复核。</x:v>
      </x:c>
      <x:c r="AG15" s="6" t="str">
        <x:v>ACCURATE</x:v>
      </x:c>
      <x:c r="AH15" s="6" t="str">
        <x:v>ACCURATE</x:v>
      </x:c>
      <x:c r="AI15" s="6" t="str">
        <x:v>双方一致（ACCURATE）；证据定位已完成，且已确认与现有 train/dev/test、调参和评测集无重叠，写入最终 project_label。</x:v>
      </x:c>
      <x:c r="AJ15" s="7" t="str">
        <x:f t="shared" si="0"/>
        <x:v>已完成双人标注、证据定位、最终裁决与去重确认</x:v>
      </x:c>
    </x:row>
    <x:row r="16" ht="409.5" customHeight="1">
      <x:c r="A16" s="4" t="str">
        <x:v>PMC-OA-V2-12</x:v>
      </x:c>
      <x:c r="B16" s="4" t="str">
        <x:v>natural</x:v>
      </x:c>
      <x:c r="C16" s="4" t="str">
        <x:v>正式试标集（自然发生引用；已定位、双标与裁决）</x:v>
      </x:c>
      <x:c r="D16" s="4" t="str">
        <x:v>PMC13626999</x:v>
      </x:c>
      <x:c r="E16" s="4" t="str">
        <x:v>Consumer choice and preference heterogeneity for liquid milk attributes in Sri Lanka: evidence from a choice experiment</x:v>
      </x:c>
      <x:c r="F16" s="4" t="str">
        <x:v>Consumers’ choices regarding liquid milk consumption are influenced by various milk attributes. Several studies have investigated consumers’ preferences for liquid milk attributes worldwide. Among the milk attributes, consumers’ preferences for milk fat content have been widely investigated by several researchers ([CITED:PMC6982324]–[OTHER_CITATION]). Evidence from prior studies across various countries highlighted that milk fat is an important factor in the choices of liquid milk. The literature further shows that preferences for milk fat vary across countries.</x:v>
      </x:c>
      <x:c r="G16" s="4" t="str">
        <x:v>Among the milk attributes, consumers’ preferences for milk fat content have been widely investigated by several researchers ([CITED:PMC6982324]–[OTHER_CITATION]).</x:v>
      </x:c>
      <x:c r="H16" s="4" t="n">
        <x:v>6</x:v>
      </x:c>
      <x:c r="I16" s="4" t="str">
        <x:v>10.3389/fnut.2026.1931191</x:v>
      </x:c>
      <x:c r="J16" s="4" t="str">
        <x:v>https://pmc.ncbi.nlm.nih.gov/articles/PMC13626999/</x:v>
      </x:c>
      <x:c r="K16" s="4" t="str">
        <x:v>https://creativecommons.org/licenses/by/4.0/</x:v>
      </x:c>
      <x:c r="L16" s="4" t="str">
        <x:v>E172465602D150C2CF0035AD2BD9EC7D6B05CA810285E157E39587C2CFF256D9</x:v>
      </x:c>
      <x:c r="M16" s="4" t="str">
        <x:v>PMC6982324</x:v>
      </x:c>
      <x:c r="N16" s="4" t="str">
        <x:v>Consumers’ Willingness to Pay for Imported Milk: Based on Shanghai, China</x:v>
      </x:c>
      <x:c r="O16" s="4" t="str">
        <x:v>Against the backdrop of the continuous large-scale growth of imported milk in China, in this research 310 consumers in Shanghai were used as a sample, and a choice experiment was conducted to study consumer preference and willingness to pay for imported milk. The following product attributes were included: nutrition claim, fat content, flavor, country of origin, and price. Our results show that, excepting price, consumers consider flavor the most important attribute, followed by nutrition claim, fat content, and country of origin. Consumers can be delineated into four segments based on consumer preference for the attributes of imported milk: “nutrition claim seekers” are willing to pay the highest price for imported milk with nutrition claims, “indifferent” consumers pay little attention to imported milk attributes, “flavor-oriented” consumers have a strong preference for strawberry-flavored imported milk, and “price-sensitive” consumers weigh the price when choosing imported milk.</x:v>
      </x:c>
      <x:c r="P16" s="4" t="n">
        <x:v>1</x:v>
      </x:c>
      <x:c r="Q16" s="4" t="str">
        <x:v>10.3390/ijerph17010244</x:v>
      </x:c>
      <x:c r="R16" s="4" t="str">
        <x:v>https://pmc.ncbi.nlm.nih.gov/articles/PMC6982324/</x:v>
      </x:c>
      <x:c r="S16" s="4" t="str">
        <x:v>https://creativecommons.org/licenses/by/4.0/</x:v>
      </x:c>
      <x:c r="T16" s="4" t="str">
        <x:v>02BFF1BDD73534318E0FBC35D136525253C15F8EF1AEE51702AF01FED1BA5DD8</x:v>
      </x:c>
      <x:c r="U16" s="4" t="str">
        <x:v>citing:PMC13626999:xml_p=6; cited:PMC6982324:abstract_p=1; BioC_passage=1; offset=76</x:v>
      </x:c>
      <x:c r="V16" s="4" t="str">
        <x:v>已核对：与现有 train/dev/test、调参和评测集无重叠（陈明进 2026-10-04 确认）</x:v>
      </x:c>
      <x:c r="W16" s="5" t="str">
        <x:v>member1_chenmingjin</x:v>
      </x:c>
      <x:c r="X16" s="5" t="str">
        <x:v>ACCURATE</x:v>
      </x:c>
      <x:c r="Y16" s="5" t="str">
        <x:v>已定位</x:v>
      </x:c>
      <x:c r="Z16" s="5" t="str">
        <x:v>citing:PMC13626999:xml_p=6; cited:PMC6982324:abstract_p=1; BioC_passage=1; offset=76</x:v>
      </x:c>
      <x:c r="AA16" s="8" t="str">
        <x:v>证据在众多的属性里有提到脂肪量</x:v>
      </x:c>
      <x:c r="AB16" s="6" t="str">
        <x:v>member2_liyun</x:v>
      </x:c>
      <x:c r="AC16" s="6" t="str">
        <x:v>NOT_ACCURATE</x:v>
      </x:c>
      <x:c r="AD16" s="6" t="str">
        <x:v>已定位</x:v>
      </x:c>
      <x:c r="AE16" s="6" t="str">
        <x:v>citing:PMC13626999:xml_p=6; cited:PMC6982324:abstract_p=1; BioC_passage=1; offset=76</x:v>
      </x:c>
      <x:c r="AF16" s="6" t="str">
        <x:v>证据只显示一项研究把脂肪含量列为牛奶属性，未支持‘已被多位研究者广泛研究’；当前定位需源文复核。</x:v>
      </x:c>
      <x:c r="AG16" s="6" t="str">
        <x:v>NOT_ACCURATE</x:v>
      </x:c>
      <x:c r="AH16" s="6" t="str">
        <x:v>NOT_ACCURATE</x:v>
      </x:c>
      <x:c r="AI16" s="6" t="str">
        <x:v>陈明进标 ACCURATE，李云标 NOT_ACCURATE。被引摘要只显示脂肪含量是单项研究的属性之一，不能支持‘已被多位研究者广泛研究’，最终裁决为 NOT_ACCURATE；证据定位已完成，且已确认与现有 train/dev/test、调参和评测集无重叠，写入最终 project_label。</x:v>
      </x:c>
      <x:c r="AJ16" s="7" t="str">
        <x:f t="shared" si="0"/>
        <x:v>已完成双人标注、证据定位、最终裁决与去重确认</x:v>
      </x:c>
    </x:row>
    <x:row r="17" ht="409.5" customHeight="1">
      <x:c r="A17" s="4" t="str">
        <x:v>PMC-OA-V2-13</x:v>
      </x:c>
      <x:c r="B17" s="4" t="str">
        <x:v>natural</x:v>
      </x:c>
      <x:c r="C17" s="4" t="str">
        <x:v>正式试标集（自然发生引用；已定位、双标与裁决）</x:v>
      </x:c>
      <x:c r="D17" s="4" t="str">
        <x:v>PMC13626999</x:v>
      </x:c>
      <x:c r="E17" s="4" t="str">
        <x:v>Consumer choice and preference heterogeneity for liquid milk attributes in Sri Lanka: evidence from a choice experiment</x:v>
      </x:c>
      <x:c r="F17" s="4" t="str">
        <x:v>In the literature, studies have investigated consumer preference for the heat treatment of liquid milk. Previous studies show that heat treatment and processing methods influence consumer choices in liquid milk consumption. Bai et al. ([OTHER_CITATION]), Sckokai et al. ([OTHER_CITATION]) assessed consumers’ preferences for the heat treatment attribute of liquid milk and reported a strong preference for pasteurized milk over UHT-treated milk in China and Italy, respectively. The literature indicates that nutrition claims have been a key determinant of milk purchases. For instance, Xu et al. ([CITED:PMC6982324]) found that Chinese consumers preferred milk fortified with a combination of iron (Fe), calcium (Ca), zinc (Zn), and vitamin D over milk containing only vitamins A and D.</x:v>
      </x:c>
      <x:c r="G17" s="4" t="str">
        <x:v>([CITED:PMC6982324]) found that Chinese consumers preferred milk fortified with a combination of iron (Fe), calcium (Ca), zinc (Zn), and vitamin D over milk containing only vitamins A and D.</x:v>
      </x:c>
      <x:c r="H17" s="4" t="n">
        <x:v>7</x:v>
      </x:c>
      <x:c r="I17" s="4" t="str">
        <x:v>10.3389/fnut.2026.1931191</x:v>
      </x:c>
      <x:c r="J17" s="4" t="str">
        <x:v>https://pmc.ncbi.nlm.nih.gov/articles/PMC13626999/</x:v>
      </x:c>
      <x:c r="K17" s="4" t="str">
        <x:v>https://creativecommons.org/licenses/by/4.0/</x:v>
      </x:c>
      <x:c r="L17" s="4" t="str">
        <x:v>E172465602D150C2CF0035AD2BD9EC7D6B05CA810285E157E39587C2CFF256D9</x:v>
      </x:c>
      <x:c r="M17" s="4" t="str">
        <x:v>PMC6982324</x:v>
      </x:c>
      <x:c r="N17" s="4" t="str">
        <x:v>Consumers’ Willingness to Pay for Imported Milk: Based on Shanghai, China</x:v>
      </x:c>
      <x:c r="O17" s="4" t="str">
        <x:v>Against the backdrop of the continuous large-scale growth of imported milk in China, in this research 310 consumers in Shanghai were used as a sample, and a choice experiment was conducted to study consumer preference and willingness to pay for imported milk. The following product attributes were included: nutrition claim, fat content, flavor, country of origin, and price. Our results show that, excepting price, consumers consider flavor the most important attribute, followed by nutrition claim, fat content, and country of origin. Consumers can be delineated into four segments based on consumer preference for the attributes of imported milk: “nutrition claim seekers” are willing to pay the highest price for imported milk with nutrition claims, “indifferent” consumers pay little attention to imported milk attributes, “flavor-oriented” consumers have a strong preference for strawberry-flavored imported milk, and “price-sensitive” consumers weigh the price when choosing imported milk.</x:v>
      </x:c>
      <x:c r="P17" s="4" t="n">
        <x:v>1</x:v>
      </x:c>
      <x:c r="Q17" s="4" t="str">
        <x:v>10.3390/ijerph17010244</x:v>
      </x:c>
      <x:c r="R17" s="4" t="str">
        <x:v>https://pmc.ncbi.nlm.nih.gov/articles/PMC6982324/</x:v>
      </x:c>
      <x:c r="S17" s="4" t="str">
        <x:v>https://creativecommons.org/licenses/by/4.0/</x:v>
      </x:c>
      <x:c r="T17" s="4" t="str">
        <x:v>02BFF1BDD73534318E0FBC35D136525253C15F8EF1AEE51702AF01FED1BA5DD8</x:v>
      </x:c>
      <x:c r="U17" s="4" t="str">
        <x:v>citing:PMC13626999:xml_p=7; cited:PMC6982324:abstract_p=1; BioC_passage=1; offset=76</x:v>
      </x:c>
      <x:c r="V17" s="4" t="str">
        <x:v>已核对：与现有 train/dev/test、调参和评测集无重叠（陈明进 2026-10-04 确认）</x:v>
      </x:c>
      <x:c r="W17" s="5" t="str">
        <x:v>member1_chenmingjin</x:v>
      </x:c>
      <x:c r="X17" s="5" t="str">
        <x:v>NOT_ACCURATE</x:v>
      </x:c>
      <x:c r="Y17" s="5" t="str">
        <x:v>已定位</x:v>
      </x:c>
      <x:c r="Z17" s="5" t="str">
        <x:v>citing:PMC13626999:xml_p=7; cited:PMC6982324:abstract_p=1; BioC_passage=1; offset=76</x:v>
      </x:c>
      <x:c r="AA17" s="5" t="str">
        <x:v>证据为进口牛奶偏好选择实验，摘要未提供Fe/Ca/Zn/维D强化vs仅维A/D的具体偏好数据</x:v>
      </x:c>
      <x:c r="AB17" s="6" t="str">
        <x:v>member2_liyun</x:v>
      </x:c>
      <x:c r="AC17" s="6" t="str">
        <x:v>NOT_ACCURATE</x:v>
      </x:c>
      <x:c r="AD17" s="6" t="str">
        <x:v>已定位</x:v>
      </x:c>
      <x:c r="AE17" s="6" t="str">
        <x:v>citing:PMC13626999:xml_p=7; cited:PMC6982324:abstract_p=1; BioC_passage=1; offset=76</x:v>
      </x:c>
      <x:c r="AF17" s="6" t="str">
        <x:v>证据列出营养声明、脂肪含量等属性，但未给出Fe/Ca/Zn/维生素D强化与仅A/D之间的偏好结果；当前定位需源文复核。</x:v>
      </x:c>
      <x:c r="AG17" s="6" t="str">
        <x:v>NOT_ACCURATE</x:v>
      </x:c>
      <x:c r="AH17" s="6" t="str">
        <x:v>NOT_ACCURATE</x:v>
      </x:c>
      <x:c r="AI17" s="6" t="str">
        <x:v>双方一致（NOT_ACCURATE）；证据定位已完成，且已确认与现有 train/dev/test、调参和评测集无重叠，写入最终 project_label。</x:v>
      </x:c>
      <x:c r="AJ17" s="7" t="str">
        <x:f t="shared" si="0"/>
        <x:v>已完成双人标注、证据定位、最终裁决与去重确认</x:v>
      </x:c>
    </x:row>
    <x:row r="18" ht="409.5" customHeight="1">
      <x:c r="A18" s="4" t="str">
        <x:v>PMC-OA-V2-14</x:v>
      </x:c>
      <x:c r="B18" s="4" t="str">
        <x:v>natural</x:v>
      </x:c>
      <x:c r="C18" s="4" t="str">
        <x:v>正式试标集（自然发生引用；已定位、双标与裁决）</x:v>
      </x:c>
      <x:c r="D18" s="4" t="str">
        <x:v>PMC13626989</x:v>
      </x:c>
      <x:c r="E18" s="4" t="str">
        <x:v>Effects of caffeine supplementation on post-exercise recovery: a systematic review and three-level meta-analysis of perceptual, functional performance, physiological, and sleep outcomes</x:v>
      </x:c>
      <x:c r="F18" s="4" t="str">
        <x:v>High-intensity training and competition can deplete energy stores, disrupt muscle structure, and disturb physiological homeostasis, while also inducing muscle soreness, perceived fatigue, and reductions in strength and exercise performance. Effective post-exercise recovery facilitates the restoration of physiological homeostasis, replenishment of energy stores, repair of exercise-induced tissue damage, and maintenance of subsequent training and competitive performance. This is particularly important for athletes facing short recovery intervals or repeated competition demands ([OTHER_CITATION]; [CITED:PMC12297025]). However, post-exercise recovery is not a unitary process. Perceived soreness and fatigue, muscle function, physiological markers of muscle damage, and sleep may follow different recovery trajectories, and the severity of delayed-onset muscle soreness may not accurately reflect the extent of muscle damage ([OTHER_CITATION]; [OTHER_CITATION]). Accordingly, reliance on a single indicator may not adequately capture overall recovery status. Given the multidimensional nature of post-exercise recovery, the present study classified and evaluated relevant outcomes across four domains: perceptual, functional, physiological, and sleep recovery.</x:v>
      </x:c>
      <x:c r="G18" s="4" t="str">
        <x:v>This is particularly important for athletes facing short recovery intervals or repeated competition demands ([OTHER_CITATION]; [CITED:PMC12297025]).</x:v>
      </x:c>
      <x:c r="H18" s="4" t="n">
        <x:v>6</x:v>
      </x:c>
      <x:c r="I18" s="4" t="str">
        <x:v>10.3389/fphys.2026.1960237</x:v>
      </x:c>
      <x:c r="J18" s="4" t="str">
        <x:v>https://pmc.ncbi.nlm.nih.gov/articles/PMC13626989/</x:v>
      </x:c>
      <x:c r="K18" s="4" t="str">
        <x:v>https://creativecommons.org/licenses/by/4.0/</x:v>
      </x:c>
      <x:c r="L18" s="4" t="str">
        <x:v>5E871A8A6A549C1C49443CDA88D089134051C79F73D94CAC1B07F7999D79E25F</x:v>
      </x:c>
      <x:c r="M18" s="4" t="str">
        <x:v>PMC12297025</x:v>
      </x:c>
      <x:c r="N18" s="4" t="str">
        <x:v>Nutritional Strategies to Improve Post-exercise Recovery and Subsequent Exercise Performance: A Narrative Review</x:v>
      </x:c>
      <x:c r="O18" s="4" t="str">
        <x:v>Post-exercise recovery strategies influence the body’s ability to restore physiological homeostasis, replenish energy stores, repair muscle damage, and promote desired adaptations, which improve exercise performance. This narrative review examines the impact of nutritional strategies commonly used for enhancing recovery and subsequent exercise performance, particularly when athletes face short recovery periods. Carbohydrate ingestion is essential for glycogen replenishment, especially within the initial hours post-exercise, with its impact dependent on the types, timing, and amount. Protein is essential for accelerating muscle recovery and achieving a positive nitrogen balance, depending on the type and dosage. The co-ingestion of carbohydrates with proteins or fats is explored for its role in maximizing glycogen resynthesis and muscle repair, with evidence supporting the addition of protein to suboptimal carbohydrate intake for enhanced recovery. Moreover, this review addresses the potential benefits of creatine and caffeine co-ingestion for accelerating glycogen synthesis and improving subsequent performance. Hydration strategies, including the use of milk-based beverages and electrolyte solutions, are also discussed, emphasizing their importance in maintaining fluid balance and optimizing recovery. This review also highlights the emerging role of micronutrients such as omega-3 fatty acids, antioxidants, and sodium bicarbonate in reducing muscle damage and improving acid–base balance. Evidence supports the tailored use of these nutritional strategies, particularly for athletes managing tight competition/training schedules. Future research should focus on refining individualized approaches for recovery and investigating the impact of novel supplements on subsequent performance.</x:v>
      </x:c>
      <x:c r="P18" s="4" t="n">
        <x:v>1</x:v>
      </x:c>
      <x:c r="Q18" s="4" t="str">
        <x:v>10.1007/s40279-025-02213-6</x:v>
      </x:c>
      <x:c r="R18" s="4" t="str">
        <x:v>https://pmc.ncbi.nlm.nih.gov/articles/PMC12297025/</x:v>
      </x:c>
      <x:c r="S18" s="4" t="str">
        <x:v>https://creativecommons.org/licenses/by/4.0/</x:v>
      </x:c>
      <x:c r="T18" s="4" t="str">
        <x:v>5FD3C8C7F06D6D14BD2C49669280BEBA191003E7ED69DC6E19D3758CA173A565</x:v>
      </x:c>
      <x:c r="U18" s="4" t="str">
        <x:v>citing:PMC13626989:xml_p=6; cited:PMC12297025:abstract_p=1; BioC_passage=1; offset=113</x:v>
      </x:c>
      <x:c r="V18" s="4" t="str">
        <x:v>已核对：与现有 train/dev/test、调参和评测集无重叠（陈明进 2026-10-04 确认）</x:v>
      </x:c>
      <x:c r="W18" s="5" t="str">
        <x:v>member1_chenmingjin</x:v>
      </x:c>
      <x:c r="X18" s="5" t="str">
        <x:v>ACCURATE</x:v>
      </x:c>
      <x:c r="Y18" s="5" t="str">
        <x:v>已定位</x:v>
      </x:c>
      <x:c r="Z18" s="5" t="str">
        <x:v>citing:PMC13626989:xml_p=6; cited:PMC12297025:abstract_p=1; BioC_passage=1; offset=113</x:v>
      </x:c>
      <x:c r="AA18" s="5" t="str">
        <x:v>证据为运动后恢复营养策略综述，支持恢复策略对短恢复间隔运动员的重要性</x:v>
      </x:c>
      <x:c r="AB18" s="6" t="str">
        <x:v>member2_liyun</x:v>
      </x:c>
      <x:c r="AC18" s="6" t="str">
        <x:v>ACCURATE</x:v>
      </x:c>
      <x:c r="AD18" s="6" t="str">
        <x:v>已定位</x:v>
      </x:c>
      <x:c r="AE18" s="6" t="str">
        <x:v>citing:PMC13626989:xml_p=6; cited:PMC12297025:abstract_p=1; BioC_passage=1; offset=113</x:v>
      </x:c>
      <x:c r="AF18" s="6" t="str">
        <x:v>证据直接说明营养恢复策略对短恢复间隔运动员尤其重要；当前定位需源文复核。</x:v>
      </x:c>
      <x:c r="AG18" s="6" t="str">
        <x:v>ACCURATE</x:v>
      </x:c>
      <x:c r="AH18" s="6" t="str">
        <x:v>ACCURATE</x:v>
      </x:c>
      <x:c r="AI18" s="6" t="str">
        <x:v>双方一致（ACCURATE）；证据定位已完成，且已确认与现有 train/dev/test、调参和评测集无重叠，写入最终 project_label。</x:v>
      </x:c>
      <x:c r="AJ18" s="7" t="str">
        <x:f t="shared" si="0"/>
        <x:v>已完成双人标注、证据定位、最终裁决与去重确认</x:v>
      </x:c>
    </x:row>
    <x:row r="19" ht="409.5" customHeight="1">
      <x:c r="A19" s="4" t="str">
        <x:v>PMC-OA-V2-15</x:v>
      </x:c>
      <x:c r="B19" s="4" t="str">
        <x:v>natural</x:v>
      </x:c>
      <x:c r="C19" s="4" t="str">
        <x:v>正式试标集（自然发生引用；已定位、双标与裁决）</x:v>
      </x:c>
      <x:c r="D19" s="4" t="str">
        <x:v>PMC13626989</x:v>
      </x:c>
      <x:c r="E19" s="4" t="str">
        <x:v>Effects of caffeine supplementation on post-exercise recovery: a systematic review and three-level meta-analysis of perceptual, functional performance, physiological, and sleep outcomes</x:v>
      </x:c>
      <x:c r="F19" s="4" t="str">
        <x:v>Caffeine is one of the most widely used nutritional supplements among physically active individuals and is well established as an acute ergogenic aid, with 3–6 mg/kg body mass being the most commonly investigated effective dose range ([CITED:PMC5839013]; [OTHER_CITATION]). Its effects are largely attributed to adenosine-receptor antagonism, which may reduce perceived exertion and pain and help maintain exercise performance. However, such transient improvements in performance do not necessarily indicate accelerated restoration of physiological homeostasis or tissue repair, complicating the interpretation of caffeine as a recovery aid.</x:v>
      </x:c>
      <x:c r="G19" s="4" t="str">
        <x:v>Caffeine is one of the most widely used nutritional supplements among physically active individuals and is well established as an acute ergogenic aid, with 3–6 mg/kg body mass being the most commonly investigated effective dose range ([CITED:PMC5839013]; [OTHER_CITATION]).</x:v>
      </x:c>
      <x:c r="H19" s="4" t="n">
        <x:v>7</x:v>
      </x:c>
      <x:c r="I19" s="4" t="str">
        <x:v>10.3389/fphys.2026.1960237</x:v>
      </x:c>
      <x:c r="J19" s="4" t="str">
        <x:v>https://pmc.ncbi.nlm.nih.gov/articles/PMC13626989/</x:v>
      </x:c>
      <x:c r="K19" s="4" t="str">
        <x:v>https://creativecommons.org/licenses/by/4.0/</x:v>
      </x:c>
      <x:c r="L19" s="4" t="str">
        <x:v>5E871A8A6A549C1C49443CDA88D089134051C79F73D94CAC1B07F7999D79E25F</x:v>
      </x:c>
      <x:c r="M19" s="4" t="str">
        <x:v>PMC5839013</x:v>
      </x:c>
      <x:c r="N19" s="4" t="str">
        <x:v>Effects of caffeine intake on muscle strength and power: a systematic review and meta-analysis</x:v>
      </x:c>
      <x:c r="O19" s="4" t="str">
        <x:v>Caffeine is commonly used as an ergogenic aid. Literature about the effects of caffeine ingestion on muscle strength and power is equivocal. The aim of this systematic review and meta-analysis was to summarize results from individual studies on the effects of caffeine intake on muscle strength and power.</x:v>
      </x:c>
      <x:c r="P19" s="4" t="n">
        <x:v>1</x:v>
      </x:c>
      <x:c r="Q19" s="4" t="str">
        <x:v>10.1186/s12970-018-0216-0</x:v>
      </x:c>
      <x:c r="R19" s="4" t="str">
        <x:v>https://pmc.ncbi.nlm.nih.gov/articles/PMC5839013/</x:v>
      </x:c>
      <x:c r="S19" s="4" t="str">
        <x:v>https://creativecommons.org/licenses/by/4.0/</x:v>
      </x:c>
      <x:c r="T19" s="4" t="str">
        <x:v>E15FEB3B9C1F214896A9C03EC34708809F3C157C9AACC721973DB4D296BC0BEE</x:v>
      </x:c>
      <x:c r="U19" s="4" t="str">
        <x:v>citing:PMC13626989:xml_p=7; cited:PMC5839013:abstract_p=1; BioC_passage=2; offset=106</x:v>
      </x:c>
      <x:c r="V19" s="4" t="str">
        <x:v>已核对：与现有 train/dev/test、调参和评测集无重叠（陈明进 2026-10-04 确认）</x:v>
      </x:c>
      <x:c r="W19" s="5" t="str">
        <x:v>member1_chenmingjin</x:v>
      </x:c>
      <x:c r="X19" s="5" t="str">
        <x:v>NOT_ACCURATE</x:v>
      </x:c>
      <x:c r="Y19" s="5" t="str">
        <x:v>已定位</x:v>
      </x:c>
      <x:c r="Z19" s="5" t="str">
        <x:v>citing:PMC13626989:xml_p=7; cited:PMC5839013:abstract_p=1; BioC_passage=2; offset=106</x:v>
      </x:c>
      <x:c r="AA19" s="5" t="str">
        <x:v>证据支持咖啡因为运动增效剂，但指出对力量/功率效果不一致，且未提及3-6mg/kg剂量范围</x:v>
      </x:c>
      <x:c r="AB19" s="6" t="str">
        <x:v>member2_liyun</x:v>
      </x:c>
      <x:c r="AC19" s="6" t="str">
        <x:v>NOT_ACCURATE</x:v>
      </x:c>
      <x:c r="AD19" s="6" t="str">
        <x:v>已定位</x:v>
      </x:c>
      <x:c r="AE19" s="6" t="str">
        <x:v>citing:PMC13626989:xml_p=7; cited:PMC5839013:abstract_p=1; BioC_passage=2; offset=106</x:v>
      </x:c>
      <x:c r="AF19" s="6" t="str">
        <x:v>证据支持咖啡因作为运动增效剂，但未支持3–6 mg/kg剂量范围，且对力量和功率的效果被描述为不确定；当前定位需源文复核。</x:v>
      </x:c>
      <x:c r="AG19" s="6" t="str">
        <x:v>NOT_ACCURATE</x:v>
      </x:c>
      <x:c r="AH19" s="6" t="str">
        <x:v>NOT_ACCURATE</x:v>
      </x:c>
      <x:c r="AI19" s="6" t="str">
        <x:v>双方一致（NOT_ACCURATE）；证据定位已完成，且已确认与现有 train/dev/test、调参和评测集无重叠，写入最终 project_label。</x:v>
      </x:c>
      <x:c r="AJ19" s="7" t="str">
        <x:f t="shared" si="0"/>
        <x:v>已完成双人标注、证据定位、最终裁决与去重确认</x:v>
      </x:c>
    </x:row>
    <x:row r="20" ht="409.5" customHeight="1">
      <x:c r="A20" s="4" t="str">
        <x:v>PMC-OA-V2-16</x:v>
      </x:c>
      <x:c r="B20" s="4" t="str">
        <x:v>natural</x:v>
      </x:c>
      <x:c r="C20" s="4" t="str">
        <x:v>正式试标集（自然发生引用；已定位、双标与裁决）</x:v>
      </x:c>
      <x:c r="D20" s="4" t="str">
        <x:v>PMC13626989</x:v>
      </x:c>
      <x:c r="E20" s="4" t="str">
        <x:v>Effects of caffeine supplementation on post-exercise recovery: a systematic review and three-level meta-analysis of perceptual, functional performance, physiological, and sleep outcomes</x:v>
      </x:c>
      <x:c r="F20" s="4" t="str">
        <x:v>Caffeine is one of the most widely used nutritional supplements among physically active individuals and is well established as an acute ergogenic aid, with 3–6 mg/kg body mass being the most commonly investigated effective dose range ([OTHER_CITATION]; [CITED:PMC7777221]). Its effects are largely attributed to adenosine-receptor antagonism, which may reduce perceived exertion and pain and help maintain exercise performance. However, such transient improvements in performance do not necessarily indicate accelerated restoration of physiological homeostasis or tissue repair, complicating the interpretation of caffeine as a recovery aid.</x:v>
      </x:c>
      <x:c r="G20" s="4" t="str">
        <x:v>Caffeine is one of the most widely used nutritional supplements among physically active individuals and is well established as an acute ergogenic aid, with 3–6 mg/kg body mass being the most commonly investigated effective dose range ([OTHER_CITATION]; [CITED:PMC7777221]).</x:v>
      </x:c>
      <x:c r="H20" s="4" t="n">
        <x:v>7</x:v>
      </x:c>
      <x:c r="I20" s="4" t="str">
        <x:v>10.3389/fphys.2026.1960237</x:v>
      </x:c>
      <x:c r="J20" s="4" t="str">
        <x:v>https://pmc.ncbi.nlm.nih.gov/articles/PMC13626989/</x:v>
      </x:c>
      <x:c r="K20" s="4" t="str">
        <x:v>https://creativecommons.org/licenses/by/4.0/</x:v>
      </x:c>
      <x:c r="L20" s="4" t="str">
        <x:v>5E871A8A6A549C1C49443CDA88D089134051C79F73D94CAC1B07F7999D79E25F</x:v>
      </x:c>
      <x:c r="M20" s="4" t="str">
        <x:v>PMC7777221</x:v>
      </x:c>
      <x:c r="N20" s="4" t="str">
        <x:v>International society of sports nutrition position stand: caffeine and exercise performance</x:v>
      </x:c>
      <x:c r="O20" s="4" t="str">
        <x:v>Following critical evaluation of the available literature to date, The International Society of Sports Nutrition (ISSN) position regarding caffeine intake is as follows: Supplementation with caffeine has been shown to acutely enhance various aspects of exercise performance in many but not all studies. Small to moderate benefits of caffeine use include, but are not limited to: muscular endurance, movement velocity and muscular strength, sprinting, jumping, and throwing performance, as well as a wide range of aerobic and anaerobic sport-specific actions.</x:v>
      </x:c>
      <x:c r="P20" s="4" t="n">
        <x:v>1</x:v>
      </x:c>
      <x:c r="Q20" s="4" t="str">
        <x:v>10.1186/s12970-020-00383-4</x:v>
      </x:c>
      <x:c r="R20" s="4" t="str">
        <x:v>https://pmc.ncbi.nlm.nih.gov/articles/PMC7777221/</x:v>
      </x:c>
      <x:c r="S20" s="4" t="str">
        <x:v>https://creativecommons.org/licenses/by/4.0/</x:v>
      </x:c>
      <x:c r="T20" s="4" t="str">
        <x:v>21248D3DC1A802C26BD8409E281DE36313F756E9066F5995390A3BDDB668759D</x:v>
      </x:c>
      <x:c r="U20" s="4" t="str">
        <x:v>citing:PMC13626989:xml_p=7; cited:PMC7777221:abstract_p=1; BioC_passage=1;12; offset=92;2572</x:v>
      </x:c>
      <x:c r="V20" s="4" t="str">
        <x:v>已核对：与现有 train/dev/test、调参和评测集无重叠（陈明进 2026-10-04 确认）</x:v>
      </x:c>
      <x:c r="W20" s="5" t="str">
        <x:v>member1_chenmingjin</x:v>
      </x:c>
      <x:c r="X20" s="5" t="str">
        <x:v>NOT-ACCURATE</x:v>
      </x:c>
      <x:c r="Y20" s="5" t="str">
        <x:v>已定位</x:v>
      </x:c>
      <x:c r="Z20" s="5" t="str">
        <x:v>citing:PMC13626989:xml_p=7; cited:PMC7777221:abstract_p=1; BioC_passage=1;12; offset=92;2572</x:v>
      </x:c>
      <x:c r="AA20" s="5" t="str">
        <x:v>ISSN立场声明支持咖啡因为急性运动增效剂，3-6mg/kg范围未提及</x:v>
      </x:c>
      <x:c r="AB20" s="6" t="str">
        <x:v>member2_liyun</x:v>
      </x:c>
      <x:c r="AC20" s="6" t="str">
        <x:v>NOT_ACCURATE</x:v>
      </x:c>
      <x:c r="AD20" s="6" t="str">
        <x:v>已定位</x:v>
      </x:c>
      <x:c r="AE20" s="6" t="str">
        <x:v>citing:PMC13626989:xml_p=7; cited:PMC7777221:abstract_p=1; BioC_passage=1;12; offset=92;2572</x:v>
      </x:c>
      <x:c r="AF20" s="6" t="str">
        <x:v>证据支持咖啡因可急性增强部分运动表现，但未给出claim中的3–6 mg/kg有效剂量范围；当前定位需源文复核。</x:v>
      </x:c>
      <x:c r="AG20" s="6" t="str">
        <x:v>NOT_ACCURATE</x:v>
      </x:c>
      <x:c r="AH20" s="6" t="str">
        <x:v>NOT_ACCURATE</x:v>
      </x:c>
      <x:c r="AI20" s="6" t="str">
        <x:v>双方一致（统一 NOT-ACCURATE 为 NOT_ACCURATE）；证据定位已完成，且已确认与现有 train/dev/test、调参和评测集无重叠，写入最终 project_label。</x:v>
      </x:c>
      <x:c r="AJ20" s="7" t="str">
        <x:f t="shared" si="0"/>
        <x:v>已完成双人标注、证据定位、最终裁决与去重确认</x:v>
      </x:c>
    </x:row>
    <x:row r="21" ht="409.5" customHeight="1">
      <x:c r="A21" s="4" t="str">
        <x:v>PMC-OA-V2-17</x:v>
      </x:c>
      <x:c r="B21" s="4" t="str">
        <x:v>natural</x:v>
      </x:c>
      <x:c r="C21" s="4" t="str">
        <x:v>正式试标集（自然发生引用；已定位、双标与裁决）</x:v>
      </x:c>
      <x:c r="D21" s="4" t="str">
        <x:v>PMC13626989</x:v>
      </x:c>
      <x:c r="E21" s="4" t="str">
        <x:v>Effects of caffeine supplementation on post-exercise recovery: a systematic review and three-level meta-analysis of perceptual, functional performance, physiological, and sleep outcomes</x:v>
      </x:c>
      <x:c r="F21" s="4" t="str">
        <x:v>The effects of caffeine on perceptual, functional, and physiological recovery after exercise remain controversial. Previous studies have reported inconsistent findings regarding pain and muscle soreness, strength recovery, and physiological markers of muscle damage. Some evidence suggests that caffeine ingestion after exercise-induced muscle damage may reduce pain perception or temporarily improve neuromuscular function; however, these changes are not consistently accompanied by corresponding improvements in physiological markers such as creatine kinase ([OTHER_CITATION]; [CITED:PMC9099525]; [OTHER_CITATION]; [OTHER_CITATION]; [OTHER_CITATION]). Existing meta-analyses have also reached different conclusions regarding delayed-onset muscle soreness. Some evidence suggests that caffeine may reduce soreness at specific recovery time points, whereas more recent findings indicate that it does not consistently improve pain at 24, 48, or 72 h after exercise ([OTHER_CITATION]; [OTHER_CITATION]). These inconsistencies may reflect differences in exercise-induced muscle damage models, caffeine dose and caffeine ingestion timing, assessment time points, and outcome measures. They also suggest that perceptual improvement, maintenance of functional performance, and physiological tissue repair may represent distinct recovery processes ([CITED:PMC9099525]; [OTHER_CITATION]; [OTHER_CITATION]; [OTHER_CITATION]).</x:v>
      </x:c>
      <x:c r="G21" s="4" t="str">
        <x:v>Some evidence suggests that caffeine ingestion after exercise-induced muscle damage may reduce pain perception or temporarily improve neuromuscular function; however, these changes are not consistently accompanied by corresponding improvements in physiological markers such as creatine kinase ([OTHER_CITATION]; [CITED:PMC9099525]; [OTHER_CITATION]; [OTHER_CITATION]; [OTHER_CITATION]).</x:v>
      </x:c>
      <x:c r="H21" s="4" t="n">
        <x:v>8</x:v>
      </x:c>
      <x:c r="I21" s="4" t="str">
        <x:v>10.3389/fphys.2026.1960237</x:v>
      </x:c>
      <x:c r="J21" s="4" t="str">
        <x:v>https://pmc.ncbi.nlm.nih.gov/articles/PMC13626989/</x:v>
      </x:c>
      <x:c r="K21" s="4" t="str">
        <x:v>https://creativecommons.org/licenses/by/4.0/</x:v>
      </x:c>
      <x:c r="L21" s="4" t="str">
        <x:v>5E871A8A6A549C1C49443CDA88D089134051C79F73D94CAC1B07F7999D79E25F</x:v>
      </x:c>
      <x:c r="M21" s="4" t="str">
        <x:v>PMC9099525</x:v>
      </x:c>
      <x:c r="N21" s="4" t="str">
        <x:v>Effect of Caffeine Ingestion on Indirect Markers of Exercise-Induced Muscle Damage: A Systematic Review of Human Trials</x:v>
      </x:c>
      <x:c r="O21" s="4" t="str">
        <x:v>The effect of caffeine on mitigating exercise-induced muscle damage (EIMD) is still poorly understood, but it was hypothesized that caffeine could contribute to decreasing delayed onset muscle soreness, attenuating temporary loss of strength, and reducing circulating levels of blood markers of muscle damage. However, evidence is not conclusive and beneficial effects of caffeine ingestion on EIMD are not always observed. Factors, such as the type of exercise that induces muscle damage, supplementation protocol, and type of marker analyzed contribute to the differences between the studies. To expand knowledge on the role of caffeine supplementation in EIMD, this systematic review aimed to investigate the effect of caffeine supplementation on different markers of muscle damage. Fourteen studies were included, evaluating the effect of caffeine on indirect muscle damage markers, including blood markers (nine studies), pain perception (six studies), and MVC maximal voluntary contraction force (four studies). It was observed in four studies that repeated administration of caffeine between 24 and 72 h after muscle damage can attenuate the perception of pain in magnitudes ranging from 3.9% to 26%. The use of a single dose of caffeine pre-exercise (five studies) or post-exercise (one study) did not alter the circulating blood levels of creatine kinase (CK). Caffeine supplementation appears to attenuate pain perception, but this does not appear to be related to an attenuation of EIMD, per se. Furthermore, the effect of caffeine supplementation after muscle damage on strength recovery remains inconclusive due to the low number of studies found (four studies) and controversial results for both dynamic and isometric strength tests.</x:v>
      </x:c>
      <x:c r="P21" s="4" t="n">
        <x:v>1</x:v>
      </x:c>
      <x:c r="Q21" s="4" t="str">
        <x:v>10.3390/nu14091769</x:v>
      </x:c>
      <x:c r="R21" s="4" t="str">
        <x:v>https://pmc.ncbi.nlm.nih.gov/articles/PMC9099525/</x:v>
      </x:c>
      <x:c r="S21" s="4" t="str">
        <x:v>https://creativecommons.org/licenses/by/4.0/</x:v>
      </x:c>
      <x:c r="T21" s="4" t="str">
        <x:v>0D9956900CF18BD2E3A5989ADEDCB64DF8CA6072F835E69E1CC76C498841B489</x:v>
      </x:c>
      <x:c r="U21" s="4" t="str">
        <x:v>citing:PMC13626989:xml_p=8; cited:PMC9099525:abstract_p=1; BioC_passage=1; offset=120</x:v>
      </x:c>
      <x:c r="V21" s="4" t="str">
        <x:v>已核对：与现有 train/dev/test、调参和评测集无重叠（陈明进 2026-10-04 确认）</x:v>
      </x:c>
      <x:c r="W21" s="5" t="str">
        <x:v>member1_chenmingjin</x:v>
      </x:c>
      <x:c r="X21" s="5" t="str">
        <x:v>ACCURATE</x:v>
      </x:c>
      <x:c r="Y21" s="5" t="str">
        <x:v>已定位</x:v>
      </x:c>
      <x:c r="Z21" s="5" t="str">
        <x:v>citing:PMC13626989:xml_p=8; cited:PMC9099525:abstract_p=1; BioC_passage=1; offset=120</x:v>
      </x:c>
      <x:c r="AA21" s="8" t="str">
        <x:v>证据提到并未改变循环血液中肌酸激酶（CK）的水平</x:v>
      </x:c>
      <x:c r="AB21" s="6" t="str">
        <x:v>member2_liyun</x:v>
      </x:c>
      <x:c r="AC21" s="6" t="str">
        <x:v>ACCURATE</x:v>
      </x:c>
      <x:c r="AD21" s="6" t="str">
        <x:v>已定位</x:v>
      </x:c>
      <x:c r="AE21" s="6" t="str">
        <x:v>citing:PMC13626989:xml_p=8; cited:PMC9099525:abstract_p=1; BioC_passage=1; offset=120</x:v>
      </x:c>
      <x:c r="AF21" s="6" t="str">
        <x:v>证据报告咖啡因可减轻疼痛感知，且单次给药未改变CK，支持疼痛或功能变化不一定伴随生理指标改善；当前定位需源文复核。</x:v>
      </x:c>
      <x:c r="AG21" s="6" t="str">
        <x:v>ACCURATE</x:v>
      </x:c>
      <x:c r="AH21" s="6" t="str">
        <x:v>ACCURATE</x:v>
      </x:c>
      <x:c r="AI21" s="6" t="str">
        <x:v>双方一致（ACCURATE）；证据定位已完成，且已确认与现有 train/dev/test、调参和评测集无重叠，写入最终 project_label。</x:v>
      </x:c>
      <x:c r="AJ21" s="7" t="str">
        <x:f t="shared" si="0"/>
        <x:v>已完成双人标注、证据定位、最终裁决与去重确认</x:v>
      </x:c>
    </x:row>
    <x:row r="22" ht="409.5" customHeight="1">
      <x:c r="A22" s="4" t="str">
        <x:v>PMC-OA-V2-18</x:v>
      </x:c>
      <x:c r="B22" s="4" t="str">
        <x:v>natural</x:v>
      </x:c>
      <x:c r="C22" s="4" t="str">
        <x:v>正式试标集（自然发生引用；已定位、双标与裁决）</x:v>
      </x:c>
      <x:c r="D22" s="4" t="str">
        <x:v>PMC13626989</x:v>
      </x:c>
      <x:c r="E22" s="4" t="str">
        <x:v>Effects of caffeine supplementation on post-exercise recovery: a systematic review and three-level meta-analysis of perceptual, functional performance, physiological, and sleep outcomes</x:v>
      </x:c>
      <x:c r="F22" s="4" t="str">
        <x:v>The effects of caffeine on perceptual, functional, and physiological recovery after exercise remain controversial. Previous studies have reported inconsistent findings regarding pain and muscle soreness, strength recovery, and physiological markers of muscle damage. Some evidence suggests that caffeine ingestion after exercise-induced muscle damage may reduce pain perception or temporarily improve neuromuscular function; however, these changes are not consistently accompanied by corresponding improvements in physiological markers such as creatine kinase ([OTHER_CITATION]; [CITED:PMC9099525]; [OTHER_CITATION]; [OTHER_CITATION]; [OTHER_CITATION]). Existing meta-analyses have also reached different conclusions regarding delayed-onset muscle soreness. Some evidence suggests that caffeine may reduce soreness at specific recovery time points, whereas more recent findings indicate that it does not consistently improve pain at 24, 48, or 72 h after exercise ([OTHER_CITATION]; [OTHER_CITATION]). These inconsistencies may reflect differences in exercise-induced muscle damage models, caffeine dose and caffeine ingestion timing, assessment time points, and outcome measures. They also suggest that perceptual improvement, maintenance of functional performance, and physiological tissue repair may represent distinct recovery processes ([CITED:PMC9099525]; [OTHER_CITATION]; [OTHER_CITATION]; [OTHER_CITATION]).</x:v>
      </x:c>
      <x:c r="G22" s="4" t="str">
        <x:v>Some evidence suggests that caffeine ingestion after exercise-induced muscle damage may reduce pain perception or temporarily improve neuromuscular function; however, these changes are not consistently accompanied by corresponding improvements in physiological markers such as creatine kinase ([OTHER_CITATION]; [CITED:PMC9099525]; [OTHER_CITATION]; [OTHER_CITATION]; [OTHER_CITATION]).</x:v>
      </x:c>
      <x:c r="H22" s="4" t="n">
        <x:v>8</x:v>
      </x:c>
      <x:c r="I22" s="4" t="str">
        <x:v>10.3389/fphys.2026.1960237</x:v>
      </x:c>
      <x:c r="J22" s="4" t="str">
        <x:v>https://pmc.ncbi.nlm.nih.gov/articles/PMC13626989/</x:v>
      </x:c>
      <x:c r="K22" s="4" t="str">
        <x:v>https://creativecommons.org/licenses/by/4.0/</x:v>
      </x:c>
      <x:c r="L22" s="4" t="str">
        <x:v>5E871A8A6A549C1C49443CDA88D089134051C79F73D94CAC1B07F7999D79E25F</x:v>
      </x:c>
      <x:c r="M22" s="4" t="str">
        <x:v>PMC9099525</x:v>
      </x:c>
      <x:c r="N22" s="4" t="str">
        <x:v>Effect of Caffeine Ingestion on Indirect Markers of Exercise-Induced Muscle Damage: A Systematic Review of Human Trials</x:v>
      </x:c>
      <x:c r="O22" s="4" t="str">
        <x:v>The effect of caffeine on mitigating exercise-induced muscle damage (EIMD) is still poorly understood, but it was hypothesized that caffeine could contribute to decreasing delayed onset muscle soreness, attenuating temporary loss of strength, and reducing circulating levels of blood markers of muscle damage. However, evidence is not conclusive and beneficial effects of caffeine ingestion on EIMD are not always observed. Factors, such as the type of exercise that induces muscle damage, supplementation protocol, and type of marker analyzed contribute to the differences between the studies. To expand knowledge on the role of caffeine supplementation in EIMD, this systematic review aimed to investigate the effect of caffeine supplementation on different markers of muscle damage. Fourteen studies were included, evaluating the effect of caffeine on indirect muscle damage markers, including blood markers (nine studies), pain perception (six studies), and MVC maximal voluntary contraction force (four studies). It was observed in four studies that repeated administration of caffeine between 24 and 72 h after muscle damage can attenuate the perception of pain in magnitudes ranging from 3.9% to 26%. The use of a single dose of caffeine pre-exercise (five studies) or post-exercise (one study) did not alter the circulating blood levels of creatine kinase (CK). Caffeine supplementation appears to attenuate pain perception, but this does not appear to be related to an attenuation of EIMD, per se. Furthermore, the effect of caffeine supplementation after muscle damage on strength recovery remains inconclusive due to the low number of studies found (four studies) and controversial results for both dynamic and isometric strength tests.</x:v>
      </x:c>
      <x:c r="P22" s="4" t="n">
        <x:v>1</x:v>
      </x:c>
      <x:c r="Q22" s="4" t="str">
        <x:v>10.3390/nu14091769</x:v>
      </x:c>
      <x:c r="R22" s="4" t="str">
        <x:v>https://pmc.ncbi.nlm.nih.gov/articles/PMC9099525/</x:v>
      </x:c>
      <x:c r="S22" s="4" t="str">
        <x:v>https://creativecommons.org/licenses/by/4.0/</x:v>
      </x:c>
      <x:c r="T22" s="4" t="str">
        <x:v>0D9956900CF18BD2E3A5989ADEDCB64DF8CA6072F835E69E1CC76C498841B489</x:v>
      </x:c>
      <x:c r="U22" s="4" t="str">
        <x:v>citing:PMC13626989:xml_p=8; cited:PMC9099525:abstract_p=1; BioC_passage=1; offset=120</x:v>
      </x:c>
      <x:c r="V22" s="4" t="str">
        <x:v>已核对：与现有 train/dev/test、调参和评测集无重叠（陈明进 2026-10-04 确认）</x:v>
      </x:c>
      <x:c r="W22" s="5" t="str">
        <x:v>member1_chenmingjin</x:v>
      </x:c>
      <x:c r="X22" s="5" t="str">
        <x:v>ACCURATE</x:v>
      </x:c>
      <x:c r="Y22" s="5" t="str">
        <x:v>已定位</x:v>
      </x:c>
      <x:c r="Z22" s="5" t="str">
        <x:v>citing:PMC13626989:xml_p=8; cited:PMC9099525:abstract_p=1; BioC_passage=1; offset=120</x:v>
      </x:c>
      <x:c r="AA22" s="8" t="str">
        <x:v>同V2-17，</x:v>
      </x:c>
      <x:c r="AB22" s="6" t="str">
        <x:v>member2_liyun</x:v>
      </x:c>
      <x:c r="AC22" s="6" t="str">
        <x:v>ACCURATE</x:v>
      </x:c>
      <x:c r="AD22" s="6" t="str">
        <x:v>已定位</x:v>
      </x:c>
      <x:c r="AE22" s="6" t="str">
        <x:v>citing:PMC13626989:xml_p=8; cited:PMC9099525:abstract_p=1; BioC_passage=1; offset=120</x:v>
      </x:c>
      <x:c r="AF22" s="6" t="str">
        <x:v>与V2-17相同，证据支持疼痛感知改善与CK未改变的并存；当前定位需源文复核。</x:v>
      </x:c>
      <x:c r="AG22" s="6" t="str">
        <x:v>ACCURATE</x:v>
      </x:c>
      <x:c r="AH22" s="6" t="str">
        <x:v>ACCURATE</x:v>
      </x:c>
      <x:c r="AI22" s="6" t="str">
        <x:v>双方一致（ACCURATE）；证据定位已完成，且已确认与现有 train/dev/test、调参和评测集无重叠，写入最终 project_label。</x:v>
      </x:c>
      <x:c r="AJ22" s="7" t="str">
        <x:f t="shared" si="0"/>
        <x:v>已完成双人标注、证据定位、最终裁决与去重确认</x:v>
      </x:c>
    </x:row>
    <x:row r="23" ht="409.5" customHeight="1">
      <x:c r="A23" s="4" t="str">
        <x:v>PMC-OA-V2-19</x:v>
      </x:c>
      <x:c r="B23" s="4" t="str">
        <x:v>natural</x:v>
      </x:c>
      <x:c r="C23" s="4" t="str">
        <x:v>正式试标集（自然发生引用；已定位、双标与裁决）</x:v>
      </x:c>
      <x:c r="D23" s="4" t="str">
        <x:v>PMC13626989</x:v>
      </x:c>
      <x:c r="E23" s="4" t="str">
        <x:v>Effects of caffeine supplementation on post-exercise recovery: a systematic review and three-level meta-analysis of perceptual, functional performance, physiological, and sleep outcomes</x:v>
      </x:c>
      <x:c r="F23" s="4" t="str">
        <x:v>The effects of caffeine on perceptual, functional, and physiological recovery after exercise remain controversial. Previous studies have reported inconsistent findings regarding pain and muscle soreness, strength recovery, and physiological markers of muscle damage. Some evidence suggests that caffeine ingestion after exercise-induced muscle damage may reduce pain perception or temporarily improve neuromuscular function; however, these changes are not consistently accompanied by corresponding improvements in physiological markers such as creatine kinase ([OTHER_CITATION]; [OTHER_CITATION]; [OTHER_CITATION]; [OTHER_CITATION]; [OTHER_CITATION]). Existing meta-analyses have also reached different conclusions regarding delayed-onset muscle soreness. Some evidence suggests that caffeine may reduce soreness at specific recovery time points, whereas more recent findings indicate that it does not consistently improve pain at 24, 48, or 72 h after exercise ([OTHER_CITATION]; [OTHER_CITATION]). These inconsistencies may reflect differences in exercise-induced muscle damage models, caffeine dose and caffeine ingestion timing, assessment time points, and outcome measures. They also suggest that perceptual improvement, maintenance of functional performance, and physiological tissue repair may represent distinct recovery processes ([OTHER_CITATION]; [OTHER_CITATION]; [OTHER_CITATION]; [CITED:PMC6837311]).</x:v>
      </x:c>
      <x:c r="G23" s="4" t="str">
        <x:v>They also suggest that perceptual improvement, maintenance of functional performance, and physiological tissue repair may represent distinct recovery processes ([OTHER_CITATION]; [OTHER_CITATION]; [OTHER_CITATION]; [CITED:PMC6837311]).</x:v>
      </x:c>
      <x:c r="H23" s="4" t="n">
        <x:v>8</x:v>
      </x:c>
      <x:c r="I23" s="4" t="str">
        <x:v>10.3389/fphys.2026.1960237</x:v>
      </x:c>
      <x:c r="J23" s="4" t="str">
        <x:v>https://pmc.ncbi.nlm.nih.gov/articles/PMC13626989/</x:v>
      </x:c>
      <x:c r="K23" s="4" t="str">
        <x:v>https://creativecommons.org/licenses/by/4.0/</x:v>
      </x:c>
      <x:c r="L23" s="4" t="str">
        <x:v>5E871A8A6A549C1C49443CDA88D089134051C79F73D94CAC1B07F7999D79E25F</x:v>
      </x:c>
      <x:c r="M23" s="4" t="str">
        <x:v>PMC6837311</x:v>
      </x:c>
      <x:c r="N23" s="4" t="str">
        <x:v>Effect of caffeine on neuromuscular function following eccentric-based exercise</x:v>
      </x:c>
      <x:c r="O23" s="4" t="str">
        <x:v>This study investigated the effect of caffeine on neuromuscular function, power and sprint performance during the days following an eccentric-based exercise. Using a randomly counterbalanced, crossover and double-blinded design, eleven male jumpers and sprinters (age: 18.7 ± 2.7 years) performed a half-squat exercise (4 x 12 repetitions at 70% of 1 RM), with eccentric action emphasized by using a flexible strip attached to their knees ( Tirante Musculador ® ). They ingested either a capsule of placebo or caffeine (5 mg.kg -1 body mass) 24, 48 and 72 h after. Neuromuscular function and muscle power (vertical countermovement-jump test) were assessed before and after the half-squat exercise and 50 min after the placebo or caffeine ingestion at each time-point post-exercise. Sprint performance was measured at pre-test and 75 min after the placebo or caffeine ingestion at each time-point post-exercise. Maximal voluntary contraction (overall fatigue) and twitch torque (peripheral fatigue) reduced after the half-squat exercise (-11 and -28%, respectively, P &lt; 0.05) but returned to baseline 24 h post-exercise (P &gt; 0.05) and were not affected by caffeine ingestion (P &gt; 0.05). The voluntary activation (central fatigue) and sprint performance were not altered throughout the experiment and were not different between caffeine and placebo. However, caffeine increased height and power during the vertical countermovement-jump test at 48 and 72 h post half-squat exercise, when compared to the placebo (P &lt; 0.05). In conclusion, caffeine improves muscle power 48 and 72 h after an eccentric-based exercise, but it has no effect on neuromuscular function and sprint performance.</x:v>
      </x:c>
      <x:c r="P23" s="4" t="n">
        <x:v>1</x:v>
      </x:c>
      <x:c r="Q23" s="4" t="str">
        <x:v>10.1371/journal.pone.0224794</x:v>
      </x:c>
      <x:c r="R23" s="4" t="str">
        <x:v>https://pmc.ncbi.nlm.nih.gov/articles/PMC6837311/</x:v>
      </x:c>
      <x:c r="S23" s="4" t="str">
        <x:v>http://creativecommons.org/licenses/by/4.0/</x:v>
      </x:c>
      <x:c r="T23" s="4" t="str">
        <x:v>D8A58212983DA584C443227CDA58E433C5641F0D2AC81CBFF310AED1AA85D25D</x:v>
      </x:c>
      <x:c r="U23" s="4" t="str">
        <x:v>citing:PMC13626989:xml_p=8; cited:PMC6837311:abstract_p=1; BioC_passage=1; offset=80</x:v>
      </x:c>
      <x:c r="V23" s="4" t="str">
        <x:v>已核对：与现有 train/dev/test、调参和评测集无重叠（陈明进 2026-10-04 确认）</x:v>
      </x:c>
      <x:c r="W23" s="5" t="str">
        <x:v>member1_chenmingjin</x:v>
      </x:c>
      <x:c r="X23" s="5" t="str">
        <x:v>NOT_ACCURATE</x:v>
      </x:c>
      <x:c r="Y23" s="5" t="str">
        <x:v>已定位</x:v>
      </x:c>
      <x:c r="Z23" s="5" t="str">
        <x:v>citing:PMC13626989:xml_p=8; cited:PMC6837311:abstract_p=1; BioC_passage=1; offset=80</x:v>
      </x:c>
      <x:c r="AA23" s="5" t="str">
        <x:v>证据研究咖啡因对离心运动后神经肌肉功能和功率的影响，未支持感知/功能/修复为不同恢复过程</x:v>
      </x:c>
      <x:c r="AB23" s="6" t="str">
        <x:v>member2_liyun</x:v>
      </x:c>
      <x:c r="AC23" s="6" t="str">
        <x:v>NOT_ACCURATE</x:v>
      </x:c>
      <x:c r="AD23" s="6" t="str">
        <x:v>已定位</x:v>
      </x:c>
      <x:c r="AE23" s="6" t="str">
        <x:v>citing:PMC13626989:xml_p=8; cited:PMC6837311:abstract_p=1; BioC_passage=1; offset=80</x:v>
      </x:c>
      <x:c r="AF23" s="6" t="str">
        <x:v>证据研究咖啡因对离心运动后神经肌肉功能、功率和冲刺表现的影响，未支持感知、功能和组织修复是不同恢复过程；当前定位需源文复核。</x:v>
      </x:c>
      <x:c r="AG23" s="6" t="str">
        <x:v>NOT_ACCURATE</x:v>
      </x:c>
      <x:c r="AH23" s="6" t="str">
        <x:v>NOT_ACCURATE</x:v>
      </x:c>
      <x:c r="AI23" s="6" t="str">
        <x:v>双方一致（NOT_ACCURATE）；证据定位已完成，且已确认与现有 train/dev/test、调参和评测集无重叠，写入最终 project_label。</x:v>
      </x:c>
      <x:c r="AJ23" s="7" t="str">
        <x:f t="shared" si="0"/>
        <x:v>已完成双人标注、证据定位、最终裁决与去重确认</x:v>
      </x:c>
    </x:row>
    <x:row r="24" ht="409.5" customHeight="1">
      <x:c r="A24" s="4" t="str">
        <x:v>PMC-OA-V2-20</x:v>
      </x:c>
      <x:c r="B24" s="4" t="str">
        <x:v>natural</x:v>
      </x:c>
      <x:c r="C24" s="4" t="str">
        <x:v>正式试标集（自然发生引用；已定位、双标与裁决）</x:v>
      </x:c>
      <x:c r="D24" s="4" t="str">
        <x:v>PMC13626992</x:v>
      </x:c>
      <x:c r="E24" s="4" t="str">
        <x:v>Cleavage-stage stratification reveals the clinical and developmental potential of 0PN embryos compared with 2PN embryos in IVF</x:v>
      </x:c>
      <x:c r="F24" s="4" t="str">
        <x:v>Assisted reproductive technologies (ART) have significantly advanced over the past decades, leading to substantial improvements in clinical pregnancy and live birth rates. Despite these advances, embryo selection remains a critical determinant of treatment success. Historically, morphological features and fertilization patterns have been used to measure embryo viability, with two pronuclei (2PN) of normally fertilized embryos being accepted as the gold standard in clinical practice. By comparison, embryos formed by unusual fertilization forms, such as those without visible pronuclei (0PN), were historically considered to possess unknown developmental potential and are commonly not included in transfer ([CITED:PMC11177495], [OTHER_CITATION]).</x:v>
      </x:c>
      <x:c r="G24" s="4" t="str">
        <x:v>By comparison, embryos formed by unusual fertilization forms, such as those without visible pronuclei (0PN), were historically considered to possess unknown developmental potential and are commonly not included in transfer ([CITED:PMC11177495], [OTHER_CITATION]).</x:v>
      </x:c>
      <x:c r="H24" s="4" t="n">
        <x:v>6</x:v>
      </x:c>
      <x:c r="I24" s="4" t="str">
        <x:v>10.3389/fendo.2026.1856070</x:v>
      </x:c>
      <x:c r="J24" s="4" t="str">
        <x:v>https://pmc.ncbi.nlm.nih.gov/articles/PMC13626992/</x:v>
      </x:c>
      <x:c r="K24" s="4" t="str">
        <x:v>https://creativecommons.org/licenses/by/4.0/</x:v>
      </x:c>
      <x:c r="L24" s="4" t="str">
        <x:v>6C22F592A93C88A136F5002076D6F5CE8728E4C1EA295F4DE3B5B7143E2D184A</x:v>
      </x:c>
      <x:c r="M24" s="4" t="str">
        <x:v>PMC11177495</x:v>
      </x:c>
      <x:c r="N24" s="4" t="str">
        <x:v>Emerging trends in sperm selection: enhancing success rates in assisted reproduction</x:v>
      </x:c>
      <x:c r="O24" s="4" t="str">
        <x:v>This comprehensive review explores the evolving landscape of sperm selection techniques within the realm of Assisted Reproductive Technology (ART). Our analysis delves into a range of methods from traditional approaches like density gradient centrifugation to advanced techniques such as Magnetic-Activated Cell Sorting (MACS) and Intracytoplasmic Morphologically Selected Sperm Injection (IMSI). We critically assess the efficacy of these methods in terms of sperm motility, morphology, DNA integrity, and other functional attributes, providing a detailed comparison of their clinical outcomes. We highlight the transition from conventional sperm selection methods, which primarily focus on physical characteristics, to more sophisticated techniques that offer a comprehensive evaluation of sperm molecular properties. This shift not only promises enhanced prediction of fertilization success but also has significant implications for improving embryo quality and increasing the chances of live birth. By synthesizing various studies and research papers, we present an in-depth analysis of the predictability of different sperm selection procedures in ART. The review also discusses the clinical applicability of these methods, emphasizing their potential in shaping the future of assisted reproduction. Our findings suggest that the integration of advanced sperm selection strategies in ART could lead to more cost-effective treatments with reduced duration and higher success rates. This review aims to provide clinicians and researchers in reproductive medicine with comprehensive insights into the current state and future prospects of sperm selection technologies in ART.</x:v>
      </x:c>
      <x:c r="P24" s="4" t="n">
        <x:v>1</x:v>
      </x:c>
      <x:c r="Q24" s="4" t="str">
        <x:v>10.1186/s12958-024-01239-1</x:v>
      </x:c>
      <x:c r="R24" s="4" t="str">
        <x:v>https://pmc.ncbi.nlm.nih.gov/articles/PMC11177495/</x:v>
      </x:c>
      <x:c r="S24" s="4" t="str">
        <x:v>https://creativecommons.org/licenses/by/4.0/</x:v>
      </x:c>
      <x:c r="T24" s="4" t="str">
        <x:v>297804172E527105EE940E02A952E49FCBAA7821F97C7A80CF577F9B88D3497A</x:v>
      </x:c>
      <x:c r="U24" s="4" t="str">
        <x:v>citing:PMC13626992:xml_p=6; cited:PMC11177495:abstract_p=1; BioC_passage=1; offset=85</x:v>
      </x:c>
      <x:c r="V24" s="4" t="str">
        <x:v>已核对：与现有 train/dev/test、调参和评测集无重叠（陈明进 2026-10-04 确认）</x:v>
      </x:c>
      <x:c r="W24" s="5" t="str">
        <x:v>member1_chenmingjin</x:v>
      </x:c>
      <x:c r="X24" s="5" t="str">
        <x:v>IRRELEVANT</x:v>
      </x:c>
      <x:c r="Y24" s="5" t="str">
        <x:v>已定位</x:v>
      </x:c>
      <x:c r="Z24" s="5" t="str">
        <x:v>citing:PMC13626992:xml_p=6; cited:PMC11177495:abstract_p=1; BioC_passage=1; offset=85</x:v>
      </x:c>
      <x:c r="AA24" s="5" t="str">
        <x:v>被引文献为ART精子选择技术综述，与0PN胚胎发育潜能及移植标准不相关</x:v>
      </x:c>
      <x:c r="AB24" s="6" t="str">
        <x:v>member2_liyun</x:v>
      </x:c>
      <x:c r="AC24" s="6" t="str">
        <x:v>IRRELEVANT</x:v>
      </x:c>
      <x:c r="AD24" s="6" t="str">
        <x:v>已定位</x:v>
      </x:c>
      <x:c r="AE24" s="6" t="str">
        <x:v>citing:PMC13626992:xml_p=6; cited:PMC11177495:abstract_p=1; BioC_passage=1; offset=85</x:v>
      </x:c>
      <x:c r="AF24" s="6" t="str">
        <x:v>被引文献是ART精子选择技术综述，与0PN胚胎发育潜能及移植标准无关；当前定位需源文复核。</x:v>
      </x:c>
      <x:c r="AG24" s="6" t="str">
        <x:v>IRRELEVANT</x:v>
      </x:c>
      <x:c r="AH24" s="6" t="str">
        <x:v>IRRELEVANT</x:v>
      </x:c>
      <x:c r="AI24" s="6" t="str">
        <x:v>双方一致（IRRELEVANT）；证据定位已完成，且已确认与现有 train/dev/test、调参和评测集无重叠，写入最终 project_label。</x:v>
      </x:c>
      <x:c r="AJ24" s="7" t="str">
        <x:f t="shared" si="0"/>
        <x:v>已完成双人标注、证据定位、最终裁决与去重确认</x:v>
      </x:c>
    </x:row>
  </x:sheetData>
  <x:mergeCells>
    <x:mergeCell ref="A1:AJ1"/>
    <x:mergeCell ref="A2:AJ2"/>
  </x:mergeCells>
  <x:conditionalFormatting sqref="X5:X24">
    <x:cfRule type="containsBlanks" dxfId="0" priority="1">
      <x:formula>LEN(TRIM(X5))=0</x:formula>
    </x:cfRule>
  </x:conditionalFormatting>
  <x:conditionalFormatting sqref="Y5:Y24">
    <x:cfRule type="containsBlanks" dxfId="0" priority="2">
      <x:formula>LEN(TRIM(Y5))=0</x:formula>
    </x:cfRule>
  </x:conditionalFormatting>
  <x:conditionalFormatting sqref="AJ5:AJ24">
    <x:cfRule type="containsText" dxfId="1" priority="3" operator="between" text="待填写">
      <x:formula>NOT(ISERROR(SEARCH("待填写",AJ5)))</x:formula>
    </x:cfRule>
    <x:cfRule type="containsText" dxfId="2" priority="4" operator="between" text="已填写">
      <x:formula>NOT(ISERROR(SEARCH("已填写",AJ5)))</x:formula>
    </x:cfRule>
  </x:conditionalFormatting>
  <x:dataValidations count="2">
    <x:dataValidation type="list" sqref="X5:X24 AC5:AC24">
      <x:formula1>"ACCURATE,NOT_ACCURATE,IRRELEVANT"</x:formula1>
    </x:dataValidation>
    <x:dataValidation type="list" sqref="Y5:Y24 AD5:AD24">
      <x:formula1>"已定位,待定位,源文缺失,不适用"</x:formula1>
    </x:dataValidation>
  </x:dataValidations>
  <x:pageMargins left="0.7" right="0.7" top="0.75" bottom="0.75" header="0.3" footer="0.3"/>
  <x:tableParts count="1">
    <x:tablePart xmlns:r="http://schemas.openxmlformats.org/officeDocument/2006/relationships" r:id="Rfc3bd8fa68dc4ef7"/>
  </x:tableParts>
</x:worksheet>
</file>