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7945" windowHeight="12255" activeTab="1"/>
  </bookViews>
  <sheets>
    <sheet name="Protocol" sheetId="1" r:id="rId1"/>
    <sheet name="Blind_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<sst xmlns="http://schemas.openxmlformats.org/spreadsheetml/2006/main" count="563" uniqueCount="304">
  <si>
    <t>PMC natural 候选盲标表 v1</t>
  </si>
  <si>
    <t>用途</t>
  </si>
  <si>
    <t>供第二位标注者独立填写，不把候选池当作正式试标集。</t>
  </si>
  <si>
    <t>候选范围</t>
  </si>
  <si>
    <t>PMC-OA-V2-01—20，共 20 条自然发生引用候选。</t>
  </si>
  <si>
    <t>当前状态</t>
  </si>
  <si>
    <t>候选池；尚未完成完整 train/dev/test、调参和评测集去重。</t>
  </si>
  <si>
    <t>盲标要求</t>
  </si>
  <si>
    <t>只填写 annotator_1_*；不要填写 annotator_2_*、project_label 或 adjudicated_*。</t>
  </si>
  <si>
    <t>标签</t>
  </si>
  <si>
    <t>ACCURATE / NOT_ACCURATE / IRRELEVANT；不确定时先保留理由并标 evidence_status。</t>
  </si>
  <si>
    <t>证据状态</t>
  </si>
  <si>
    <t>已定位 / 待定位 / 源文缺失 / 不适用；证据状态不是准确性标签。</t>
  </si>
  <si>
    <t>定位口径</t>
  </si>
  <si>
    <t>优先使用稳定段落或页码；若暂时只有 XML 段落，完整记录段落号和 URL。</t>
  </si>
  <si>
    <t>回传内容</t>
  </si>
  <si>
    <t>请保留 candidate_id，并回传填写后的表格；双方原值回收后再共同裁决。</t>
  </si>
  <si>
    <t>可填写字段</t>
  </si>
  <si>
    <t>annotator_1_id；annotator_1_label；annotator_1_evidence_status；annotator_1_evidence_locator；annotator_1_reason</t>
  </si>
  <si>
    <t>不要填写</t>
  </si>
  <si>
    <t>annotator_2_*；project_label；adjudicated_label；adjudication_reason</t>
  </si>
  <si>
    <t>自然/构造标记</t>
  </si>
  <si>
    <t>本批均为 natural；不得改写为 constructed。</t>
  </si>
  <si>
    <t>数据来源</t>
  </si>
  <si>
    <t>PMC 开放全文；来源 URL、许可和 SHA-256 已写入主表。</t>
  </si>
  <si>
    <t>PMC natural 候选盲标表（20 条，候选池，不是正式试标集）</t>
  </si>
  <si>
    <t>仅请独立标注者填写 annotator_1_*；不要填写 annotator_2_*、project_label 或 adjudicated_*。</t>
  </si>
  <si>
    <t>candidate_id</t>
  </si>
  <si>
    <t>natural_or_constructed</t>
  </si>
  <si>
    <t>candidate_status</t>
  </si>
  <si>
    <t>citing_pmcid</t>
  </si>
  <si>
    <t>citing_title</t>
  </si>
  <si>
    <t>citing_context_marked</t>
  </si>
  <si>
    <t>citing_sentence_marked</t>
  </si>
  <si>
    <t>citing_xml_paragraph</t>
  </si>
  <si>
    <t>citing_doi</t>
  </si>
  <si>
    <t>citing_url</t>
  </si>
  <si>
    <t>citing_license</t>
  </si>
  <si>
    <t>citing_xml_sha256</t>
  </si>
  <si>
    <t>cited_pmcid</t>
  </si>
  <si>
    <t>cited_title</t>
  </si>
  <si>
    <t>cited_evidence</t>
  </si>
  <si>
    <t>cited_xml_paragraph</t>
  </si>
  <si>
    <t>cited_doi</t>
  </si>
  <si>
    <t>cited_url</t>
  </si>
  <si>
    <t>cited_license</t>
  </si>
  <si>
    <t>cited_xml_sha256</t>
  </si>
  <si>
    <t>evidence_locator</t>
  </si>
  <si>
    <t>overlap_check</t>
  </si>
  <si>
    <t>annotator_1_id</t>
  </si>
  <si>
    <t>annotator_1_label</t>
  </si>
  <si>
    <t>annotator_1_evidence_status</t>
  </si>
  <si>
    <t>annotator_1_evidence_locator</t>
  </si>
  <si>
    <t>annotator_1_reason</t>
  </si>
  <si>
    <t>annotator_2_id</t>
  </si>
  <si>
    <t>annotator_2_label</t>
  </si>
  <si>
    <t>annotator_2_evidence_status</t>
  </si>
  <si>
    <t>annotator_2_evidence_locator</t>
  </si>
  <si>
    <t>annotator_2_reason</t>
  </si>
  <si>
    <t>project_label</t>
  </si>
  <si>
    <t>adjudicated_label</t>
  </si>
  <si>
    <t>adjudication_reason</t>
  </si>
  <si>
    <t>return_status</t>
  </si>
  <si>
    <t>PMC-OA-V2-01</t>
  </si>
  <si>
    <t>natural</t>
  </si>
  <si>
    <t>待人工筛选/双人盲标</t>
  </si>
  <si>
    <t>PMC13627012</t>
  </si>
  <si>
    <t>Flow diversion versus conventional endovascular treatment for ruptured basilar artery dissecting aneurysms: a single-center cohort study</t>
  </si>
  <si>
    <t>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t>
  </si>
  <si>
    <t>Consequently, experience derived predominantly from vertebral artery dissecting aneurysms cannot be directly extrapolated to BADA ([CITED:PMC10715499]).</t>
  </si>
  <si>
    <t>10.3389/fneur.2026.1940068</t>
  </si>
  <si>
    <t>https://pmc.ncbi.nlm.nih.gov/articles/PMC13627012/</t>
  </si>
  <si>
    <t>https://creativecommons.org/licenses/by/4.0/</t>
  </si>
  <si>
    <t>F92992333EBF802EDFC11D8E3B0790C3B728EA93D3F6417B845FEC56CE933B67</t>
  </si>
  <si>
    <t>PMC10715499</t>
  </si>
  <si>
    <t>Reconstructive endovascular treatment for basilar artery trunk aneurysms: complications and clinical and angiography outcomes</t>
  </si>
  <si>
    <t>Basilar artery trunk aneurysms (BTAs) are rare intracranial aneurysms. We aim to investigate the procedural complications and clinical and angiographic outcomes of BTAs treated with reconstructive endovascular treatment (EVT).</t>
  </si>
  <si>
    <t>10.1136/jnis-2022-019864</t>
  </si>
  <si>
    <t>https://pmc.ncbi.nlm.nih.gov/articles/PMC10715499/</t>
  </si>
  <si>
    <t>https://creativecommons.org/licenses/by-nc/4.0/</t>
  </si>
  <si>
    <t>B0E94E71DA1EF955F0404E56EA4584E885A5A462D50FF0C6D9978C3BBFD7EB45</t>
  </si>
  <si>
    <t>NCBI PMC OA BioC JSON; PMC10715499; section=ABSTRACT; passage_index=2, offset=137; exact raw/normalized evidence passage; URL=https://www.ncbi.nlm.nih.gov/research/bionlp/RESTful/pmcoa.cgi/PMC10715499/unicode</t>
  </si>
  <si>
    <t>待与完整 train/dev/test、调参和评测清单复核</t>
  </si>
  <si>
    <t>member1_chenmingjin</t>
  </si>
  <si>
    <t>NOT_ACCURATE</t>
  </si>
  <si>
    <t>待定位</t>
  </si>
  <si>
    <t>PMC10715499#abstract_p1</t>
  </si>
  <si>
    <t>证据仅为BTA研究目的(we aim to investigate)，未给出不能外推的结论</t>
  </si>
  <si>
    <t>PMC-OA-V2-02</t>
  </si>
  <si>
    <t>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t>
  </si>
  <si>
    <t>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t>
  </si>
  <si>
    <t>证据仅为BTA研究目的，未支持传统策略的具体局限性</t>
  </si>
  <si>
    <t>PMC-OA-V2-03</t>
  </si>
  <si>
    <t>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t>
  </si>
  <si>
    <t>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t>
  </si>
  <si>
    <t>PMC5007409</t>
  </si>
  <si>
    <t>Stent-Assisted Coil Embolization of Vertebrobasilar Dissecting Aneurysms: Procedural Outcomes and Factors for Recanalization</t>
  </si>
  <si>
    <t>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t>
  </si>
  <si>
    <t>10.3348/kjr.2016.17.5.801</t>
  </si>
  <si>
    <t>https://pmc.ncbi.nlm.nih.gov/articles/PMC5007409/</t>
  </si>
  <si>
    <t>http://creativecommons.org/licenses/by-nc/3.0/</t>
  </si>
  <si>
    <t>5F7B9C7EE6800A4235A04E84E0E66FF20C880F9970A58539D16B008E5C49D188</t>
  </si>
  <si>
    <t>NCBI PMC OA BioC JSON; PMC5007409; section=ABSTRACT; passage_index=2, offset=135; exact raw/normalized evidence passage; URL=https://www.ncbi.nlm.nih.gov/research/bionlp/RESTful/pmcoa.cgi/PMC5007409/unicode</t>
  </si>
  <si>
    <t>PMC10850450#abstract_p1</t>
  </si>
  <si>
    <t>证据仅支持SACE在VBDA中效果未确立，未覆盖claim全部传统策略及局限性</t>
  </si>
  <si>
    <t>PMC-OA-V2-04</t>
  </si>
  <si>
    <t>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t>
  </si>
  <si>
    <t>Patients managed without endovascular treatment were excluded because the study was designed to evaluate and compare endovascular treatment strategies ([CITED:PMC10850450]).</t>
  </si>
  <si>
    <t>PMC10850450</t>
  </si>
  <si>
    <t>Emerging Concept of Intracranial Arterial Diseases: The Role of High Resolution Vessel Wall MRI</t>
  </si>
  <si>
    <t>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t>
  </si>
  <si>
    <t>10.5853/jos.2023.02481</t>
  </si>
  <si>
    <t>https://pmc.ncbi.nlm.nih.gov/articles/PMC10850450/</t>
  </si>
  <si>
    <t>9B1D983A7A23A645D10E51D25705BCBFC1AF0DDD0175CB2E2E5C6E051A36970E</t>
  </si>
  <si>
    <t>NCBI PMC OA BioC JSON; PMC10850450; section=ABSTRACT; passage_index=1, offset=96; exact raw/normalized evidence passage; URL=https://www.ncbi.nlm.nih.gov/research/bionlp/RESTful/pmcoa.cgi/PMC10850450/unicode</t>
  </si>
  <si>
    <t>IRRELEVANT</t>
  </si>
  <si>
    <t>被引文献为ICAD与HR-VWI综述，与claim中排除未接受EVT患者的标准不相关</t>
  </si>
  <si>
    <t>PMC-OA-V2-05</t>
  </si>
  <si>
    <t>PMC13626993</t>
  </si>
  <si>
    <t>Case Report: Triple-negative metaplastic breast carcinoma with primary resistance to neoadjuvant chemoimmunotherapy, refractory tumor necrosis-related fever, and rapid postoperative disease progression</t>
  </si>
  <si>
    <t>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t>
  </si>
  <si>
    <t>In addition, its response to standard chemotherapy is generally poorer than that of conventional TNBC ([CITED:PMC11309924]–[OTHER_CITATION]).</t>
  </si>
  <si>
    <t>10.3389/fonc.2026.1943838</t>
  </si>
  <si>
    <t>https://pmc.ncbi.nlm.nih.gov/articles/PMC13626993/</t>
  </si>
  <si>
    <t>19F779CB197E953D2FE4292E7926669ADBDC1B61FBEAB6A3DD703F82EAD1E7A1</t>
  </si>
  <si>
    <t>PMC11309924</t>
  </si>
  <si>
    <t>A comprehensive overview of metaplastic breast cancer: Features and treatments</t>
  </si>
  <si>
    <t>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t>
  </si>
  <si>
    <t>10.1111/cas.16208</t>
  </si>
  <si>
    <t>https://pmc.ncbi.nlm.nih.gov/articles/PMC11309924/</t>
  </si>
  <si>
    <t>https://creativecommons.org/licenses/by-nc-nd/4.0/</t>
  </si>
  <si>
    <t>F05BAB6AE59FCB83879D3252F09BFD99128965BB38E674984F9F220EBA061A17</t>
  </si>
  <si>
    <t>NCBI PMC OA BioC JSON; PMC11309924; section=ABSTRACT; passage_index=2, offset=88; exact raw/normalized evidence passage; URL=https://www.ncbi.nlm.nih.gov/research/bionlp/RESTful/pmcoa.cgi/PMC11309924/unicode</t>
  </si>
  <si>
    <t>ACCURATE</t>
  </si>
  <si>
    <t>PMC11309924#abstract_p1</t>
  </si>
  <si>
    <t>证据支持化生性乳腺癌化疗耐药</t>
  </si>
  <si>
    <t>PMC-OA-V2-06</t>
  </si>
  <si>
    <t>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t>
  </si>
  <si>
    <t>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t>
  </si>
  <si>
    <t>PMC12491465</t>
  </si>
  <si>
    <t>Predictors of response to neoadjuvant chemo-immunotherapy in metaplastic triple-negative breast cancer</t>
  </si>
  <si>
    <t>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t>
  </si>
  <si>
    <t>10.1038/s41523-025-00816-w</t>
  </si>
  <si>
    <t>https://pmc.ncbi.nlm.nih.gov/articles/PMC12491465/</t>
  </si>
  <si>
    <t>3AF14372E644E6AC0FBB5F5E31F184E621E57D5DA3AE4BCA3F959BC4907BFF4F</t>
  </si>
  <si>
    <t>NCBI PMC OA BioC JSON; PMC12491465; section=ABSTRACT; passage_index=1, offset=103; exact raw/normalized evidence passage; URL=https://www.ncbi.nlm.nih.gov/research/bionlp/RESTful/pmcoa.cgi/PMC12491465/unicode</t>
  </si>
  <si>
    <t>具体比例与证据不符</t>
  </si>
  <si>
    <t>PMC-OA-V2-07</t>
  </si>
  <si>
    <t>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t>
  </si>
  <si>
    <t>Its underlying mechanisms are thought to involve tumor necrosis, immune-cell infiltration, and the release of endogenous pyrogenic mediators such as interleukin-1, interleukin-6, and tumor necrosis factor-α ([CITED:PMC6709302], [OTHER_CITATION]).</t>
  </si>
  <si>
    <t>PMC6709302</t>
  </si>
  <si>
    <t>Naproxen for the treatment of neoplastic fever</t>
  </si>
  <si>
    <t>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t>
  </si>
  <si>
    <t>10.1097/MD.0000000000015840</t>
  </si>
  <si>
    <t>https://pmc.ncbi.nlm.nih.gov/articles/PMC6709302/</t>
  </si>
  <si>
    <t>http://creativecommons.org/licenses/by-nc/4.0</t>
  </si>
  <si>
    <t>3224042ADA327689A9E94BEFC3A4A9D72DC2641C16640C51742869013113759F</t>
  </si>
  <si>
    <t>NCBI PMC OA BioC JSON; PMC6709302; section=ABSTRACT; passage_index=3, offset=68; exact raw/normalized evidence passage; URL=https://www.ncbi.nlm.nih.gov/research/bionlp/RESTful/pmcoa.cgi/PMC6709302/unicode</t>
  </si>
  <si>
    <t>PMC6709302#abstract_p1</t>
  </si>
  <si>
    <t>证据为萘普生治疗肿瘤热的系统综述，未支持IL-1/IL-6/TNF-α等机制描述</t>
  </si>
  <si>
    <t>PMC-OA-V2-08</t>
  </si>
  <si>
    <t>同V2-07，证据为萘普生治疗综述，未支持肿瘤热机制</t>
  </si>
  <si>
    <t>PMC-OA-V2-09</t>
  </si>
  <si>
    <t>PMC13626999</t>
  </si>
  <si>
    <t>Consumer choice and preference heterogeneity for liquid milk attributes in Sri Lanka: evidence from a choice experiment</t>
  </si>
  <si>
    <t>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t>
  </si>
  <si>
    <t>The COVID-19 pandemic, followed by a severe economic crisis, has negatively affected the nutritional status of people in Sri Lanka ([CITED:PMC11984007]).</t>
  </si>
  <si>
    <t>10.3389/fnut.2026.1931191</t>
  </si>
  <si>
    <t>https://pmc.ncbi.nlm.nih.gov/articles/PMC13626999/</t>
  </si>
  <si>
    <t>E172465602D150C2CF0035AD2BD9EC7D6B05CA810285E157E39587C2CFF256D9</t>
  </si>
  <si>
    <t>PMC11984007</t>
  </si>
  <si>
    <t>Dietary intake and micronutrient adequacy among adults engaged in agriculture in rural Sri Lanka: findings from a cross-sectional baseline survey</t>
  </si>
  <si>
    <t>To characterise food group consumption, assess the contribution of food groups to energy and micronutrient intake, and estimate usual nutrient intake among adults in rural Sri Lanka.</t>
  </si>
  <si>
    <t>10.1017/S1368980025000072</t>
  </si>
  <si>
    <t>https://pmc.ncbi.nlm.nih.gov/articles/PMC11984007/</t>
  </si>
  <si>
    <t>02088182D21EF32005CD48721432372EA163EC933A4F192BD96816F8170224BC</t>
  </si>
  <si>
    <t>NCBI PMC OA BioC JSON; PMC11984007; section=ABSTRACT; passage_index=2, offset=157; exact raw/normalized evidence passage; URL=https://www.ncbi.nlm.nih.gov/research/bionlp/RESTful/pmcoa.cgi/PMC11984007/unicode</t>
  </si>
  <si>
    <t>PMC11984007#abstract_p1</t>
  </si>
  <si>
    <t>证据为斯里兰卡农村成人营养摄入调查，未支持COVID-19及经济危机对营养状况的负面影响</t>
  </si>
  <si>
    <t>PMC-OA-V2-10</t>
  </si>
  <si>
    <t>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t>
  </si>
  <si>
    <t>([CITED:PMC7696452]), micronutrient malnutrition poses a serious threat to public health in Sri Lanka.</t>
  </si>
  <si>
    <t>PMC7696452</t>
  </si>
  <si>
    <t>Understanding Dietary Diversity, Dietary Practices and Changes in Food Patterns in Marginalised Societies in Sri Lanka</t>
  </si>
  <si>
    <t>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t>
  </si>
  <si>
    <t>10.3390/foods9111659</t>
  </si>
  <si>
    <t>https://pmc.ncbi.nlm.nih.gov/articles/PMC7696452/</t>
  </si>
  <si>
    <t>86362B03404A617A45191ED3CC8667D7573FABDD3CA1EBA95DA2BCF7D5421ACE</t>
  </si>
  <si>
    <t>NCBI PMC OA BioC JSON; PMC7696452; section=ABSTRACT; passage_index=1, offset=119; exact raw/normalized evidence passage; URL=https://www.ncbi.nlm.nih.gov/research/bionlp/RESTful/pmcoa.cgi/PMC7696452/unicode</t>
  </si>
  <si>
    <t>PMC7696452#abstract_p1</t>
  </si>
  <si>
    <t>证据直接指出微量营养素营养不良是包括斯里兰卡在内的发展中国家严重公共卫生问题</t>
  </si>
  <si>
    <t>PMC-OA-V2-11</t>
  </si>
  <si>
    <t>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t>
  </si>
  <si>
    <t>Milk provides essential nutrients ([CITED:PMC8793832]) and plays a vital role in supporting growth, health, and overall nutritional wellbeing ([OTHER_CITATION]).</t>
  </si>
  <si>
    <t>PMC8793832</t>
  </si>
  <si>
    <t>Modeling the Contribution of Milk to Global Nutrition</t>
  </si>
  <si>
    <t>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t>
  </si>
  <si>
    <t>10.3389/fnut.2021.716100</t>
  </si>
  <si>
    <t>https://pmc.ncbi.nlm.nih.gov/articles/PMC8793832/</t>
  </si>
  <si>
    <t>258F4875A40BC81DB5857056953F6246BF9162533993E7F50B93447314D14429</t>
  </si>
  <si>
    <t>NCBI PMC OA BioC JSON; PMC8793832; section=ABSTRACT; passage_index=1, offset=54; exact raw/normalized evidence passage; URL=https://www.ncbi.nlm.nih.gov/research/bionlp/RESTful/pmcoa.cgi/PMC8793832/unicode</t>
  </si>
  <si>
    <t>PMC8793832#abstract_p1</t>
  </si>
  <si>
    <t>证据明确描述牛奶为优质蛋白、氨基酸、维生素和矿物质来源，支持claim</t>
  </si>
  <si>
    <t>PMC-OA-V2-12</t>
  </si>
  <si>
    <t>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t>
  </si>
  <si>
    <t>Among the milk attributes, consumers’ preferences for milk fat content have been widely investigated by several researchers ([CITED:PMC6982324]–[OTHER_CITATION]).</t>
  </si>
  <si>
    <t>PMC6982324</t>
  </si>
  <si>
    <t>Consumers’ Willingness to Pay for Imported Milk: Based on Shanghai, China</t>
  </si>
  <si>
    <t>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t>
  </si>
  <si>
    <t>10.3390/ijerph17010244</t>
  </si>
  <si>
    <t>https://pmc.ncbi.nlm.nih.gov/articles/PMC6982324/</t>
  </si>
  <si>
    <t>02BFF1BDD73534318E0FBC35D136525253C15F8EF1AEE51702AF01FED1BA5DD8</t>
  </si>
  <si>
    <t>NCBI PMC OA BioC JSON; PMC6982324; section=ABSTRACT; passage_index=1, offset=76; exact raw/normalized evidence passage; URL=https://www.ncbi.nlm.nih.gov/research/bionlp/RESTful/pmcoa.cgi/PMC6982324/unicode</t>
  </si>
  <si>
    <t>PMC6982324#abstract_p1</t>
  </si>
  <si>
    <t>证据在众多的属性里有提到脂肪量</t>
  </si>
  <si>
    <t>PMC-OA-V2-13</t>
  </si>
  <si>
    <t>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t>
  </si>
  <si>
    <t>([CITED:PMC6982324]) found that Chinese consumers preferred milk fortified with a combination of iron (Fe), calcium (Ca), zinc (Zn), and vitamin D over milk containing only vitamins A and D.</t>
  </si>
  <si>
    <t>证据为进口牛奶偏好选择实验，摘要未提供Fe/Ca/Zn/维D强化vs仅维A/D的具体偏好数据</t>
  </si>
  <si>
    <t>PMC-OA-V2-14</t>
  </si>
  <si>
    <t>PMC13626989</t>
  </si>
  <si>
    <t>Effects of caffeine supplementation on post-exercise recovery: a systematic review and three-level meta-analysis of perceptual, functional performance, physiological, and sleep outcomes</t>
  </si>
  <si>
    <t>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t>
  </si>
  <si>
    <t>This is particularly important for athletes facing short recovery intervals or repeated competition demands ([OTHER_CITATION]; [CITED:PMC12297025]).</t>
  </si>
  <si>
    <t>10.3389/fphys.2026.1960237</t>
  </si>
  <si>
    <t>https://pmc.ncbi.nlm.nih.gov/articles/PMC13626989/</t>
  </si>
  <si>
    <t>5E871A8A6A549C1C49443CDA88D089134051C79F73D94CAC1B07F7999D79E25F</t>
  </si>
  <si>
    <t>PMC12297025</t>
  </si>
  <si>
    <t>Nutritional Strategies to Improve Post-exercise Recovery and Subsequent Exercise Performance: A Narrative Review</t>
  </si>
  <si>
    <t>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t>
  </si>
  <si>
    <t>10.1007/s40279-025-02213-6</t>
  </si>
  <si>
    <t>https://pmc.ncbi.nlm.nih.gov/articles/PMC12297025/</t>
  </si>
  <si>
    <t>5FD3C8C7F06D6D14BD2C49669280BEBA191003E7ED69DC6E19D3758CA173A565</t>
  </si>
  <si>
    <t>NCBI PMC OA BioC JSON; PMC12297025; section=ABSTRACT; passage_index=1, offset=113; exact raw/normalized evidence passage; URL=https://www.ncbi.nlm.nih.gov/research/bionlp/RESTful/pmcoa.cgi/PMC12297025/unicode</t>
  </si>
  <si>
    <t>PMC12297025#abstract_p1</t>
  </si>
  <si>
    <t>证据为运动后恢复营养策略综述，支持恢复策略对短恢复间隔运动员的重要性</t>
  </si>
  <si>
    <t>PMC-OA-V2-15</t>
  </si>
  <si>
    <t>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t>
  </si>
  <si>
    <t>Caffeine is one of the most widely used nutritional supplements among physically active individuals and is well established as an acute ergogenic aid, with 3–6 mg/kg body mass being the most commonly investigated effective dose range ([CITED:PMC5839013]; [OTHER_CITATION]).</t>
  </si>
  <si>
    <t>PMC5839013</t>
  </si>
  <si>
    <t>Effects of caffeine intake on muscle strength and power: a systematic review and meta-analysis</t>
  </si>
  <si>
    <t>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t>
  </si>
  <si>
    <t>10.1186/s12970-018-0216-0</t>
  </si>
  <si>
    <t>https://pmc.ncbi.nlm.nih.gov/articles/PMC5839013/</t>
  </si>
  <si>
    <t>E15FEB3B9C1F214896A9C03EC34708809F3C157C9AACC721973DB4D296BC0BEE</t>
  </si>
  <si>
    <t>NCBI PMC OA BioC JSON; PMC5839013; section=ABSTRACT; passage_index=2, offset=106; exact raw/normalized evidence passage; URL=https://www.ncbi.nlm.nih.gov/research/bionlp/RESTful/pmcoa.cgi/PMC5839013/unicode</t>
  </si>
  <si>
    <t>PMC5839013#abstract_p1</t>
  </si>
  <si>
    <t>证据支持咖啡因为运动增效剂，但指出对力量/功率效果不一致，且未提及3-6mg/kg剂量范围</t>
  </si>
  <si>
    <t>PMC-OA-V2-16</t>
  </si>
  <si>
    <t>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t>
  </si>
  <si>
    <t>Caffeine is one of the most widely used nutritional supplements among physically active individuals and is well established as an acute ergogenic aid, with 3–6 mg/kg body mass being the most commonly investigated effective dose range ([OTHER_CITATION]; [CITED:PMC7777221]).</t>
  </si>
  <si>
    <t>PMC7777221</t>
  </si>
  <si>
    <t>International society of sports nutrition position stand: caffeine and exercise performance</t>
  </si>
  <si>
    <t>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t>
  </si>
  <si>
    <t>10.1186/s12970-020-00383-4</t>
  </si>
  <si>
    <t>https://pmc.ncbi.nlm.nih.gov/articles/PMC7777221/</t>
  </si>
  <si>
    <t>21248D3DC1A802C26BD8409E281DE36313F756E9066F5995390A3BDDB668759D</t>
  </si>
  <si>
    <t>NCBI PMC OA BioC JSON; PMC7777221; section=ABSTRACT; passage_index=1, offset=92; passage_index=12, offset=2572; normalized evidence span (source punctuation/spacing differs); URL=https://www.ncbi.nlm.nih.gov/research/bionlp/RESTful/pmcoa.cgi/PMC7777221/unicode</t>
  </si>
  <si>
    <t>NOT-ACCURATE</t>
  </si>
  <si>
    <t>PMC7777221#abstract_p1</t>
  </si>
  <si>
    <r>
      <rPr>
        <sz val="9"/>
        <color rgb="FF1F2937"/>
        <rFont val="Aptos"/>
        <charset val="134"/>
      </rPr>
      <t>ISSN</t>
    </r>
    <r>
      <rPr>
        <sz val="9"/>
        <color rgb="FF1F2937"/>
        <rFont val="宋体"/>
        <charset val="134"/>
      </rPr>
      <t>立场声明支持咖啡因为急性运动增效剂，</t>
    </r>
    <r>
      <rPr>
        <sz val="9"/>
        <color rgb="FF1F2937"/>
        <rFont val="Aptos"/>
        <charset val="134"/>
      </rPr>
      <t>3-6mg/kg</t>
    </r>
    <r>
      <rPr>
        <sz val="9"/>
        <color rgb="FF1F2937"/>
        <rFont val="宋体"/>
        <charset val="134"/>
      </rPr>
      <t>范围未提及</t>
    </r>
  </si>
  <si>
    <t>PMC-OA-V2-17</t>
  </si>
  <si>
    <t>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t>
  </si>
  <si>
    <t>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t>
  </si>
  <si>
    <t>PMC9099525</t>
  </si>
  <si>
    <t>Effect of Caffeine Ingestion on Indirect Markers of Exercise-Induced Muscle Damage: A Systematic Review of Human Trials</t>
  </si>
  <si>
    <t>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t>
  </si>
  <si>
    <t>10.3390/nu14091769</t>
  </si>
  <si>
    <t>https://pmc.ncbi.nlm.nih.gov/articles/PMC9099525/</t>
  </si>
  <si>
    <t>0D9956900CF18BD2E3A5989ADEDCB64DF8CA6072F835E69E1CC76C498841B489</t>
  </si>
  <si>
    <t>NCBI PMC OA BioC JSON; PMC9099525; section=ABSTRACT; passage_index=1, offset=120; exact raw/normalized evidence passage; URL=https://www.ncbi.nlm.nih.gov/research/bionlp/RESTful/pmcoa.cgi/PMC9099525/unicode</t>
  </si>
  <si>
    <t>证据提到并未改变循环血液中肌酸激酶（CK）的水平</t>
  </si>
  <si>
    <t>PMC-OA-V2-18</t>
  </si>
  <si>
    <r>
      <rPr>
        <sz val="9"/>
        <color rgb="FF1F2937"/>
        <rFont val="宋体"/>
        <charset val="134"/>
      </rPr>
      <t>同</t>
    </r>
    <r>
      <rPr>
        <sz val="9"/>
        <color rgb="FF1F2937"/>
        <rFont val="Aptos"/>
        <charset val="134"/>
      </rPr>
      <t>V2-17</t>
    </r>
    <r>
      <rPr>
        <sz val="9"/>
        <color rgb="FF1F2937"/>
        <rFont val="宋体"/>
        <charset val="134"/>
      </rPr>
      <t>，</t>
    </r>
  </si>
  <si>
    <t>PMC-OA-V2-19</t>
  </si>
  <si>
    <t>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t>
  </si>
  <si>
    <t>They also suggest that perceptual improvement, maintenance of functional performance, and physiological tissue repair may represent distinct recovery processes ([OTHER_CITATION]; [OTHER_CITATION]; [OTHER_CITATION]; [CITED:PMC6837311]).</t>
  </si>
  <si>
    <t>PMC6837311</t>
  </si>
  <si>
    <t>Effect of caffeine on neuromuscular function following eccentric-based exercise</t>
  </si>
  <si>
    <t>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t>
  </si>
  <si>
    <t>10.1371/journal.pone.0224794</t>
  </si>
  <si>
    <t>https://pmc.ncbi.nlm.nih.gov/articles/PMC6837311/</t>
  </si>
  <si>
    <t>http://creativecommons.org/licenses/by/4.0/</t>
  </si>
  <si>
    <t>D8A58212983DA584C443227CDA58E433C5641F0D2AC81CBFF310AED1AA85D25D</t>
  </si>
  <si>
    <t>NCBI PMC OA BioC JSON; PMC6837311; section=ABSTRACT; passage_index=1, offset=80; exact raw/normalized evidence passage; URL=https://www.ncbi.nlm.nih.gov/research/bionlp/RESTful/pmcoa.cgi/PMC6837311/unicode</t>
  </si>
  <si>
    <t>PMC6837311#abstract_p1</t>
  </si>
  <si>
    <t>证据研究咖啡因对离心运动后神经肌肉功能和功率的影响，未支持感知/功能/修复为不同恢复过程</t>
  </si>
  <si>
    <t>PMC-OA-V2-20</t>
  </si>
  <si>
    <t>PMC13626992</t>
  </si>
  <si>
    <t>Cleavage-stage stratification reveals the clinical and developmental potential of 0PN embryos compared with 2PN embryos in IVF</t>
  </si>
  <si>
    <t>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t>
  </si>
  <si>
    <t>By comparison, embryos formed by unusual fertilization forms, such as those without visible pronuclei (0PN), were historically considered to possess unknown developmental potential and are commonly not included in transfer ([CITED:PMC11177495], [OTHER_CITATION]).</t>
  </si>
  <si>
    <t>10.3389/fendo.2026.1856070</t>
  </si>
  <si>
    <t>https://pmc.ncbi.nlm.nih.gov/articles/PMC13626992/</t>
  </si>
  <si>
    <t>6C22F592A93C88A136F5002076D6F5CE8728E4C1EA295F4DE3B5B7143E2D184A</t>
  </si>
  <si>
    <t>PMC11177495</t>
  </si>
  <si>
    <t>Emerging trends in sperm selection: enhancing success rates in assisted reproduction</t>
  </si>
  <si>
    <t>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t>
  </si>
  <si>
    <t>10.1186/s12958-024-01239-1</t>
  </si>
  <si>
    <t>https://pmc.ncbi.nlm.nih.gov/articles/PMC11177495/</t>
  </si>
  <si>
    <t>297804172E527105EE940E02A952E49FCBAA7821F97C7A80CF577F9B88D3497A</t>
  </si>
  <si>
    <t>NCBI PMC OA BioC JSON; PMC11177495; section=ABSTRACT; passage_index=1, offset=85; exact raw/normalized evidence passage; URL=https://www.ncbi.nlm.nih.gov/research/bionlp/RESTful/pmcoa.cgi/PMC11177495/unicode</t>
  </si>
  <si>
    <t>PMC11177495#abstract_p1</t>
  </si>
  <si>
    <t>被引文献为ART精子选择技术综述，与0PN胚胎发育潜能及移植标准不相关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</si>
</sst>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4"/>
      <color rgb="FF000000"/>
      <name val="Aptos"/>
      <charset val="134"/>
    </font>
    <font>
      <i/>
      <sz val="10"/>
      <color rgb="FF4B5563"/>
      <name val="Aptos"/>
      <charset val="134"/>
    </font>
    <font>
      <b/>
      <sz val="9"/>
      <color rgb="FFFFFFFF"/>
      <name val="Aptos"/>
      <charset val="134"/>
    </font>
    <font>
      <sz val="9"/>
      <color rgb="FF1F2937"/>
      <name val="Aptos"/>
      <charset val="134"/>
    </font>
    <font>
      <sz val="9"/>
      <color rgb="FF1F2937"/>
      <name val="宋体"/>
      <charset val="134"/>
    </font>
    <font>
      <b/>
      <sz val="10"/>
      <color rgb="FF1F2937"/>
      <name val="Aptos"/>
      <charset val="134"/>
    </font>
    <font>
      <sz val="10"/>
      <color rgb="FF1F2937"/>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2F2F2"/>
        <bgColor indexed="64"/>
      </patternFill>
    </fill>
    <fill>
      <patternFill patternType="solid">
        <fgColor rgb="FFEAF2F8"/>
        <bgColor indexed="64"/>
      </patternFill>
    </fill>
    <fill>
      <patternFill patternType="solid">
        <fgColor rgb="FFF7F7F7"/>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8"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0" fillId="0" borderId="0"/>
  </cellStyleXfs>
  <cellXfs count="14">
    <xf numFmtId="0" fontId="0" fillId="0" borderId="0" xfId="49"/>
    <xf numFmtId="0" fontId="1" fillId="0" borderId="0" xfId="49" applyFont="1"/>
    <xf numFmtId="0" fontId="2" fillId="0" borderId="0" xfId="49" applyFont="1" applyAlignment="1">
      <alignment wrapText="1"/>
    </xf>
    <xf numFmtId="0" fontId="3" fillId="2" borderId="1" xfId="49" applyFont="1" applyFill="1" applyBorder="1" applyAlignment="1">
      <alignment horizontal="center" vertical="center" wrapText="1"/>
    </xf>
    <xf numFmtId="0" fontId="4" fillId="0" borderId="1" xfId="49" applyFont="1" applyBorder="1" applyAlignment="1">
      <alignment vertical="top" wrapText="1"/>
    </xf>
    <xf numFmtId="0" fontId="4" fillId="3" borderId="1" xfId="49" applyFont="1" applyFill="1" applyBorder="1" applyAlignment="1">
      <alignment vertical="top" wrapText="1"/>
    </xf>
    <xf numFmtId="0" fontId="4" fillId="4" borderId="1" xfId="49" applyFont="1" applyFill="1" applyBorder="1" applyAlignment="1">
      <alignment vertical="top" wrapText="1"/>
    </xf>
    <xf numFmtId="0" fontId="4" fillId="5" borderId="1" xfId="49" applyFont="1" applyFill="1" applyBorder="1" applyAlignment="1">
      <alignment vertical="top" wrapText="1"/>
    </xf>
    <xf numFmtId="0" fontId="5" fillId="3" borderId="1" xfId="49" applyFont="1" applyFill="1" applyBorder="1" applyAlignment="1">
      <alignment vertical="top" wrapText="1"/>
    </xf>
    <xf numFmtId="0" fontId="1" fillId="0" borderId="0" xfId="49" applyFont="1" applyAlignment="1">
      <alignment vertical="center"/>
    </xf>
    <xf numFmtId="0" fontId="0" fillId="0" borderId="0" xfId="49" applyAlignment="1">
      <alignment vertical="center"/>
    </xf>
    <xf numFmtId="0" fontId="6" fillId="5" borderId="1" xfId="49" applyFont="1" applyFill="1" applyBorder="1" applyAlignment="1">
      <alignment vertical="center"/>
    </xf>
    <xf numFmtId="0" fontId="7" fillId="0" borderId="1" xfId="49" applyFont="1" applyBorder="1" applyAlignment="1">
      <alignment vertical="center" wrapText="1"/>
    </xf>
    <xf numFmtId="0" fontId="6" fillId="6" borderId="1" xfId="49"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FFF2CC"/>
        </patternFill>
      </fill>
    </dxf>
    <dxf>
      <font>
        <color rgb="FF7F6000"/>
      </font>
      <fill>
        <patternFill patternType="solid">
          <bgColor rgb="FFFFF2CC"/>
        </patternFill>
      </fill>
    </dxf>
    <dxf>
      <font>
        <color rgb="FF375623"/>
      </font>
      <fill>
        <patternFill patternType="solid">
          <bgColor rgb="FFE2F0D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PmcBlindAnnotationTable" displayName="PmcBlindAnnotationTable" ref="A4:AJ24" totalsRowShown="0">
  <tableColumns count="36">
    <tableColumn id="1" name="candidate_id"/>
    <tableColumn id="2" name="natural_or_constructed"/>
    <tableColumn id="3" name="candidate_status"/>
    <tableColumn id="4" name="citing_pmcid"/>
    <tableColumn id="5" name="citing_title"/>
    <tableColumn id="6" name="citing_context_marked"/>
    <tableColumn id="7" name="citing_sentence_marked"/>
    <tableColumn id="8" name="citing_xml_paragraph"/>
    <tableColumn id="9" name="citing_doi"/>
    <tableColumn id="10" name="citing_url"/>
    <tableColumn id="11" name="citing_license"/>
    <tableColumn id="12" name="citing_xml_sha256"/>
    <tableColumn id="13" name="cited_pmcid"/>
    <tableColumn id="14" name="cited_title"/>
    <tableColumn id="15" name="cited_evidence"/>
    <tableColumn id="16" name="cited_xml_paragraph"/>
    <tableColumn id="17" name="cited_doi"/>
    <tableColumn id="18" name="cited_url"/>
    <tableColumn id="19" name="cited_license"/>
    <tableColumn id="20" name="cited_xml_sha256"/>
    <tableColumn id="21" name="evidence_locator"/>
    <tableColumn id="22" name="overlap_check"/>
    <tableColumn id="23" name="annotator_1_id"/>
    <tableColumn id="24" name="annotator_1_label"/>
    <tableColumn id="25" name="annotator_1_evidence_status"/>
    <tableColumn id="26" name="annotator_1_evidence_locator"/>
    <tableColumn id="27" name="annotator_1_reason"/>
    <tableColumn id="28" name="annotator_2_id"/>
    <tableColumn id="29" name="annotator_2_label"/>
    <tableColumn id="30" name="annotator_2_evidence_status"/>
    <tableColumn id="31" name="annotator_2_evidence_locator"/>
    <tableColumn id="32" name="annotator_2_reason"/>
    <tableColumn id="33" name="project_label"/>
    <tableColumn id="34" name="adjudicated_label"/>
    <tableColumn id="35" name="adjudication_reason"/>
    <tableColumn id="36" name="return_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showGridLines="0" workbookViewId="0">
      <selection activeCell="A1" sqref="A1:H1"/>
    </sheetView>
  </sheetViews>
  <sheetFormatPr defaultColWidth="9" defaultRowHeight="14.25" outlineLevelCol="7"/>
  <cols>
    <col min="1" max="1" width="18" customWidth="1"/>
    <col min="2" max="2" width="92" customWidth="1"/>
  </cols>
  <sheetData>
    <row r="1" ht="18" spans="1:8">
      <c r="A1" s="9" t="s">
        <v>0</v>
      </c>
    </row>
    <row r="2" spans="1:8">
      <c r="A2" s="10"/>
      <c r="B2" s="10"/>
      <c r="C2" s="10"/>
      <c r="D2" s="10"/>
      <c r="E2" s="10"/>
      <c r="F2" s="10"/>
      <c r="G2" s="10"/>
      <c r="H2" s="10"/>
    </row>
    <row r="3" ht="15" customHeight="1" spans="1:8">
      <c r="A3" s="11" t="s">
        <v>1</v>
      </c>
      <c r="B3" s="12" t="s">
        <v>2</v>
      </c>
      <c r="C3" s="10"/>
      <c r="D3" s="10"/>
      <c r="E3" s="10"/>
      <c r="F3" s="10"/>
      <c r="G3" s="10"/>
      <c r="H3" s="10"/>
    </row>
    <row r="4" ht="15" customHeight="1" spans="1:8">
      <c r="A4" s="11" t="s">
        <v>3</v>
      </c>
      <c r="B4" s="12" t="s">
        <v>4</v>
      </c>
      <c r="C4" s="10"/>
      <c r="D4" s="10"/>
      <c r="E4" s="10"/>
      <c r="F4" s="10"/>
      <c r="G4" s="10"/>
      <c r="H4" s="10"/>
    </row>
    <row r="5" ht="15" customHeight="1" spans="1:8">
      <c r="A5" s="11" t="s">
        <v>5</v>
      </c>
      <c r="B5" s="12" t="s">
        <v>6</v>
      </c>
      <c r="C5" s="10"/>
      <c r="D5" s="10"/>
      <c r="E5" s="10"/>
      <c r="F5" s="10"/>
      <c r="G5" s="10"/>
      <c r="H5" s="10"/>
    </row>
    <row r="6" ht="15" customHeight="1" spans="1:8">
      <c r="A6" s="11" t="s">
        <v>7</v>
      </c>
      <c r="B6" s="12" t="s">
        <v>8</v>
      </c>
      <c r="C6" s="10"/>
      <c r="D6" s="10"/>
      <c r="E6" s="10"/>
      <c r="F6" s="10"/>
      <c r="G6" s="10"/>
      <c r="H6" s="10"/>
    </row>
    <row r="7" ht="15" customHeight="1" spans="1:8">
      <c r="A7" s="11" t="s">
        <v>9</v>
      </c>
      <c r="B7" s="12" t="s">
        <v>10</v>
      </c>
      <c r="C7" s="10"/>
      <c r="D7" s="10"/>
      <c r="E7" s="10"/>
      <c r="F7" s="10"/>
      <c r="G7" s="10"/>
      <c r="H7" s="10"/>
    </row>
    <row r="8" ht="15" customHeight="1" spans="1:8">
      <c r="A8" s="11" t="s">
        <v>11</v>
      </c>
      <c r="B8" s="12" t="s">
        <v>12</v>
      </c>
      <c r="C8" s="10"/>
      <c r="D8" s="10"/>
      <c r="E8" s="10"/>
      <c r="F8" s="10"/>
      <c r="G8" s="10"/>
      <c r="H8" s="10"/>
    </row>
    <row r="9" ht="15" customHeight="1" spans="1:8">
      <c r="A9" s="11" t="s">
        <v>13</v>
      </c>
      <c r="B9" s="12" t="s">
        <v>14</v>
      </c>
      <c r="C9" s="10"/>
      <c r="D9" s="10"/>
      <c r="E9" s="10"/>
      <c r="F9" s="10"/>
      <c r="G9" s="10"/>
      <c r="H9" s="10"/>
    </row>
    <row r="10" ht="15" customHeight="1" spans="1:8">
      <c r="A10" s="11" t="s">
        <v>15</v>
      </c>
      <c r="B10" s="12" t="s">
        <v>16</v>
      </c>
      <c r="C10" s="10"/>
      <c r="D10" s="10"/>
      <c r="E10" s="10"/>
      <c r="F10" s="10"/>
      <c r="G10" s="10"/>
      <c r="H10" s="10"/>
    </row>
    <row r="11" ht="15" customHeight="1" spans="1:8">
      <c r="A11" s="10"/>
      <c r="B11" s="10"/>
      <c r="C11" s="10"/>
      <c r="D11" s="10"/>
      <c r="E11" s="10"/>
      <c r="F11" s="10"/>
      <c r="G11" s="10"/>
      <c r="H11" s="10"/>
    </row>
    <row r="12" ht="15" customHeight="1" spans="1:8">
      <c r="A12" s="13" t="s">
        <v>17</v>
      </c>
      <c r="B12" s="12" t="s">
        <v>18</v>
      </c>
      <c r="C12" s="10"/>
      <c r="D12" s="10"/>
      <c r="E12" s="10"/>
      <c r="F12" s="10"/>
      <c r="G12" s="10"/>
      <c r="H12" s="10"/>
    </row>
    <row r="13" ht="15" customHeight="1" spans="1:8">
      <c r="A13" s="13" t="s">
        <v>19</v>
      </c>
      <c r="B13" s="12" t="s">
        <v>20</v>
      </c>
      <c r="C13" s="10"/>
      <c r="D13" s="10"/>
      <c r="E13" s="10"/>
      <c r="F13" s="10"/>
      <c r="G13" s="10"/>
      <c r="H13" s="10"/>
    </row>
    <row r="14" ht="15" customHeight="1" spans="1:8">
      <c r="A14" s="13" t="s">
        <v>21</v>
      </c>
      <c r="B14" s="12" t="s">
        <v>22</v>
      </c>
      <c r="C14" s="10"/>
      <c r="D14" s="10"/>
      <c r="E14" s="10"/>
      <c r="F14" s="10"/>
      <c r="G14" s="10"/>
      <c r="H14" s="10"/>
    </row>
    <row r="15" ht="15" customHeight="1" spans="1:8">
      <c r="A15" s="13" t="s">
        <v>23</v>
      </c>
      <c r="B15" s="12" t="s">
        <v>24</v>
      </c>
      <c r="C15" s="10"/>
      <c r="D15" s="10"/>
      <c r="E15" s="10"/>
      <c r="F15" s="10"/>
      <c r="G15" s="10"/>
      <c r="H15" s="10"/>
    </row>
    <row r="16" spans="1:8">
      <c r="A16" s="10"/>
      <c r="B16" s="10"/>
      <c r="C16" s="10"/>
      <c r="D16" s="10"/>
      <c r="E16" s="10"/>
      <c r="F16" s="10"/>
      <c r="G16" s="10"/>
      <c r="H16" s="10"/>
    </row>
    <row r="17" spans="1:8">
      <c r="A17" s="10"/>
      <c r="B17" s="10"/>
      <c r="C17" s="10"/>
      <c r="D17" s="10"/>
      <c r="E17" s="10"/>
      <c r="F17" s="10"/>
      <c r="G17" s="10"/>
      <c r="H17" s="10"/>
    </row>
    <row r="18" spans="1:8">
      <c r="A18" s="10"/>
      <c r="B18" s="10"/>
      <c r="C18" s="10"/>
      <c r="D18" s="10"/>
      <c r="E18" s="10"/>
      <c r="F18" s="10"/>
      <c r="G18" s="10"/>
      <c r="H18" s="10"/>
    </row>
    <row r="19" spans="1:8">
      <c r="A19" s="10"/>
      <c r="B19" s="10"/>
      <c r="C19" s="10"/>
      <c r="D19" s="10"/>
      <c r="E19" s="10"/>
      <c r="F19" s="10"/>
      <c r="G19" s="10"/>
      <c r="H19" s="10"/>
    </row>
    <row r="20" spans="1:8">
      <c r="A20" s="10"/>
      <c r="B20" s="10"/>
      <c r="C20" s="10"/>
      <c r="D20" s="10"/>
      <c r="E20" s="10"/>
      <c r="F20" s="10"/>
      <c r="G20" s="10"/>
      <c r="H20" s="10"/>
    </row>
  </sheetData>
  <mergeCells count="1">
    <mergeCell ref="A1:H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4"/>
  <sheetViews>
    <sheetView showGridLines="0" tabSelected="1" workbookViewId="0">
      <pane xSplit="4" ySplit="4" topLeftCell="W22" activePane="bottomRight" state="frozen"/>
      <selection/>
      <selection pane="topRight"/>
      <selection pane="bottomLeft"/>
      <selection pane="bottomRight" activeCell="Y4" sqref="Y4"/>
    </sheetView>
  </sheetViews>
  <sheetFormatPr defaultColWidth="9" defaultRowHeight="14.25"/>
  <cols>
    <col min="1" max="2" width="16" customWidth="1"/>
    <col min="3" max="3" width="19" customWidth="1"/>
    <col min="4" max="4" width="14" customWidth="1"/>
    <col min="5" max="5" width="34" customWidth="1"/>
    <col min="6" max="6" width="68" customWidth="1"/>
    <col min="7" max="7" width="54" customWidth="1"/>
    <col min="8" max="8" width="12" customWidth="1"/>
    <col min="9" max="9" width="22" customWidth="1"/>
    <col min="10" max="10" width="40" customWidth="1"/>
    <col min="11" max="11" width="28" customWidth="1"/>
    <col min="12" max="12" width="38" customWidth="1"/>
    <col min="13" max="13" width="14" customWidth="1"/>
    <col min="14" max="14" width="34" customWidth="1"/>
    <col min="15" max="15" width="68" customWidth="1"/>
    <col min="16" max="16" width="14" customWidth="1"/>
    <col min="17" max="17" width="22" customWidth="1"/>
    <col min="18" max="18" width="40" customWidth="1"/>
    <col min="19" max="19" width="28" customWidth="1"/>
    <col min="20" max="20" width="38" customWidth="1"/>
    <col min="21" max="21" width="34" customWidth="1"/>
    <col min="22" max="22" width="30" customWidth="1"/>
    <col min="23" max="24" width="18" customWidth="1"/>
    <col min="25" max="25" width="22" customWidth="1"/>
    <col min="26" max="26" width="34" customWidth="1"/>
    <col min="27" max="27" width="44" customWidth="1"/>
    <col min="28" max="29" width="18" customWidth="1"/>
    <col min="30" max="30" width="22" customWidth="1"/>
    <col min="31" max="31" width="34" customWidth="1"/>
    <col min="32" max="32" width="44" customWidth="1"/>
    <col min="33" max="34" width="18" customWidth="1"/>
    <col min="35" max="35" width="44" customWidth="1"/>
    <col min="36" max="36" width="14" customWidth="1"/>
  </cols>
  <sheetData>
    <row r="1" ht="18" spans="1:36">
      <c r="A1" s="1" t="s">
        <v>25</v>
      </c>
    </row>
    <row r="2" spans="1:36">
      <c r="A2" s="2" t="s">
        <v>26</v>
      </c>
    </row>
    <row r="4" ht="34" customHeight="1" spans="1:36">
      <c r="A4" s="3" t="s">
        <v>27</v>
      </c>
      <c r="B4" s="3" t="s">
        <v>28</v>
      </c>
      <c r="C4" s="3" t="s">
        <v>29</v>
      </c>
      <c r="D4" s="3" t="s">
        <v>30</v>
      </c>
      <c r="E4" s="3" t="s">
        <v>31</v>
      </c>
      <c r="F4" s="3" t="s">
        <v>32</v>
      </c>
      <c r="G4" s="3" t="s">
        <v>33</v>
      </c>
      <c r="H4" s="3" t="s">
        <v>34</v>
      </c>
      <c r="I4" s="3" t="s">
        <v>35</v>
      </c>
      <c r="J4" s="3" t="s">
        <v>36</v>
      </c>
      <c r="K4" s="3" t="s">
        <v>37</v>
      </c>
      <c r="L4" s="3" t="s">
        <v>38</v>
      </c>
      <c r="M4" s="3" t="s">
        <v>39</v>
      </c>
      <c r="N4" s="3" t="s">
        <v>40</v>
      </c>
      <c r="O4" s="3" t="s">
        <v>41</v>
      </c>
      <c r="P4" s="3" t="s">
        <v>42</v>
      </c>
      <c r="Q4" s="3" t="s">
        <v>43</v>
      </c>
      <c r="R4" s="3" t="s">
        <v>44</v>
      </c>
      <c r="S4" s="3" t="s">
        <v>45</v>
      </c>
      <c r="T4" s="3" t="s">
        <v>46</v>
      </c>
      <c r="U4" s="3" t="s">
        <v>47</v>
      </c>
      <c r="V4" s="3" t="s">
        <v>48</v>
      </c>
      <c r="W4" s="3" t="s">
        <v>49</v>
      </c>
      <c r="X4" s="3" t="s">
        <v>50</v>
      </c>
      <c r="Y4" s="3" t="s">
        <v>51</v>
      </c>
      <c r="Z4" s="3" t="s">
        <v>52</v>
      </c>
      <c r="AA4" s="3" t="s">
        <v>53</v>
      </c>
      <c r="AB4" s="3" t="s">
        <v>54</v>
      </c>
      <c r="AC4" s="3" t="s">
        <v>55</v>
      </c>
      <c r="AD4" s="3" t="s">
        <v>56</v>
      </c>
      <c r="AE4" s="3" t="s">
        <v>57</v>
      </c>
      <c r="AF4" s="3" t="s">
        <v>58</v>
      </c>
      <c r="AG4" s="3" t="s">
        <v>59</v>
      </c>
      <c r="AH4" s="3" t="s">
        <v>60</v>
      </c>
      <c r="AI4" s="3" t="s">
        <v>61</v>
      </c>
      <c r="AJ4" s="3" t="s">
        <v>62</v>
      </c>
    </row>
    <row r="5" ht="409.5" customHeight="1" spans="1:36">
      <c r="A5" s="4" t="s">
        <v>63</v>
      </c>
      <c r="B5" s="4" t="s">
        <v>64</v>
      </c>
      <c r="C5" s="4" t="s">
        <v>65</v>
      </c>
      <c r="D5" s="4" t="s">
        <v>66</v>
      </c>
      <c r="E5" s="4" t="s">
        <v>67</v>
      </c>
      <c r="F5" s="4" t="s">
        <v>68</v>
      </c>
      <c r="G5" s="4" t="s">
        <v>69</v>
      </c>
      <c r="H5" s="4">
        <v>8</v>
      </c>
      <c r="I5" s="4" t="s">
        <v>70</v>
      </c>
      <c r="J5" s="4" t="s">
        <v>71</v>
      </c>
      <c r="K5" s="4" t="s">
        <v>72</v>
      </c>
      <c r="L5" s="4" t="s">
        <v>73</v>
      </c>
      <c r="M5" s="4" t="s">
        <v>74</v>
      </c>
      <c r="N5" s="4" t="s">
        <v>75</v>
      </c>
      <c r="O5" s="4" t="s">
        <v>76</v>
      </c>
      <c r="P5" s="4">
        <v>1</v>
      </c>
      <c r="Q5" s="4" t="s">
        <v>77</v>
      </c>
      <c r="R5" s="4" t="s">
        <v>78</v>
      </c>
      <c r="S5" s="4" t="s">
        <v>79</v>
      </c>
      <c r="T5" s="4" t="s">
        <v>80</v>
      </c>
      <c r="U5" s="4" t="s">
        <v>81</v>
      </c>
      <c r="V5" s="4" t="s">
        <v>82</v>
      </c>
      <c r="W5" s="5" t="s">
        <v>83</v>
      </c>
      <c r="X5" s="5" t="s">
        <v>84</v>
      </c>
      <c r="Y5" s="5" t="s">
        <v>85</v>
      </c>
      <c r="Z5" s="5" t="s">
        <v>86</v>
      </c>
      <c r="AA5" s="5" t="s">
        <v>87</v>
      </c>
      <c r="AB5" s="6"/>
      <c r="AC5" s="6"/>
      <c r="AD5" s="6"/>
      <c r="AE5" s="6"/>
      <c r="AF5" s="6"/>
      <c r="AG5" s="6"/>
      <c r="AH5" s="6"/>
      <c r="AI5" s="6"/>
      <c r="AJ5" s="7" t="str">
        <f t="shared" ref="AJ5:AJ24" si="0">IF(COUNTA(W5:AA5)=5,"已填写","待填写")</f>
        <v>已填写</v>
      </c>
    </row>
    <row r="6" ht="409.5" customHeight="1" spans="1:36">
      <c r="A6" s="4" t="s">
        <v>88</v>
      </c>
      <c r="B6" s="4" t="s">
        <v>64</v>
      </c>
      <c r="C6" s="4" t="s">
        <v>65</v>
      </c>
      <c r="D6" s="4" t="s">
        <v>66</v>
      </c>
      <c r="E6" s="4" t="s">
        <v>67</v>
      </c>
      <c r="F6" s="4" t="s">
        <v>89</v>
      </c>
      <c r="G6" s="4" t="s">
        <v>90</v>
      </c>
      <c r="H6" s="4">
        <v>9</v>
      </c>
      <c r="I6" s="4" t="s">
        <v>70</v>
      </c>
      <c r="J6" s="4" t="s">
        <v>71</v>
      </c>
      <c r="K6" s="4" t="s">
        <v>72</v>
      </c>
      <c r="L6" s="4" t="s">
        <v>73</v>
      </c>
      <c r="M6" s="4" t="s">
        <v>74</v>
      </c>
      <c r="N6" s="4" t="s">
        <v>75</v>
      </c>
      <c r="O6" s="4" t="s">
        <v>76</v>
      </c>
      <c r="P6" s="4">
        <v>1</v>
      </c>
      <c r="Q6" s="4" t="s">
        <v>77</v>
      </c>
      <c r="R6" s="4" t="s">
        <v>78</v>
      </c>
      <c r="S6" s="4" t="s">
        <v>79</v>
      </c>
      <c r="T6" s="4" t="s">
        <v>80</v>
      </c>
      <c r="U6" s="4" t="s">
        <v>81</v>
      </c>
      <c r="V6" s="4" t="s">
        <v>82</v>
      </c>
      <c r="W6" s="5" t="s">
        <v>83</v>
      </c>
      <c r="X6" s="5" t="s">
        <v>84</v>
      </c>
      <c r="Y6" s="5" t="s">
        <v>85</v>
      </c>
      <c r="Z6" s="5" t="s">
        <v>86</v>
      </c>
      <c r="AA6" s="5" t="s">
        <v>91</v>
      </c>
      <c r="AB6" s="6"/>
      <c r="AC6" s="6"/>
      <c r="AD6" s="6"/>
      <c r="AE6" s="6"/>
      <c r="AF6" s="6"/>
      <c r="AG6" s="6"/>
      <c r="AH6" s="6"/>
      <c r="AI6" s="6"/>
      <c r="AJ6" s="7" t="str">
        <f t="shared" si="0"/>
        <v>已填写</v>
      </c>
    </row>
    <row r="7" ht="409.5" customHeight="1" spans="1:36">
      <c r="A7" s="4" t="s">
        <v>92</v>
      </c>
      <c r="B7" s="4" t="s">
        <v>64</v>
      </c>
      <c r="C7" s="4" t="s">
        <v>65</v>
      </c>
      <c r="D7" s="4" t="s">
        <v>66</v>
      </c>
      <c r="E7" s="4" t="s">
        <v>67</v>
      </c>
      <c r="F7" s="4" t="s">
        <v>93</v>
      </c>
      <c r="G7" s="4" t="s">
        <v>94</v>
      </c>
      <c r="H7" s="4">
        <v>9</v>
      </c>
      <c r="I7" s="4" t="s">
        <v>70</v>
      </c>
      <c r="J7" s="4" t="s">
        <v>71</v>
      </c>
      <c r="K7" s="4" t="s">
        <v>72</v>
      </c>
      <c r="L7" s="4" t="s">
        <v>73</v>
      </c>
      <c r="M7" s="4" t="s">
        <v>95</v>
      </c>
      <c r="N7" s="4" t="s">
        <v>96</v>
      </c>
      <c r="O7" s="4" t="s">
        <v>97</v>
      </c>
      <c r="P7" s="4">
        <v>1</v>
      </c>
      <c r="Q7" s="4" t="s">
        <v>98</v>
      </c>
      <c r="R7" s="4" t="s">
        <v>99</v>
      </c>
      <c r="S7" s="4" t="s">
        <v>100</v>
      </c>
      <c r="T7" s="4" t="s">
        <v>101</v>
      </c>
      <c r="U7" s="4" t="s">
        <v>102</v>
      </c>
      <c r="V7" s="4" t="s">
        <v>82</v>
      </c>
      <c r="W7" s="5" t="s">
        <v>83</v>
      </c>
      <c r="X7" s="5" t="s">
        <v>84</v>
      </c>
      <c r="Y7" s="5" t="s">
        <v>85</v>
      </c>
      <c r="Z7" s="5" t="s">
        <v>103</v>
      </c>
      <c r="AA7" s="5" t="s">
        <v>104</v>
      </c>
      <c r="AB7" s="6"/>
      <c r="AC7" s="6"/>
      <c r="AD7" s="6"/>
      <c r="AE7" s="6"/>
      <c r="AF7" s="6"/>
      <c r="AG7" s="6"/>
      <c r="AH7" s="6"/>
      <c r="AI7" s="6"/>
      <c r="AJ7" s="7" t="str">
        <f t="shared" si="0"/>
        <v>已填写</v>
      </c>
    </row>
    <row r="8" ht="409.5" customHeight="1" spans="1:36">
      <c r="A8" s="4" t="s">
        <v>105</v>
      </c>
      <c r="B8" s="4" t="s">
        <v>64</v>
      </c>
      <c r="C8" s="4" t="s">
        <v>65</v>
      </c>
      <c r="D8" s="4" t="s">
        <v>66</v>
      </c>
      <c r="E8" s="4" t="s">
        <v>67</v>
      </c>
      <c r="F8" s="4" t="s">
        <v>106</v>
      </c>
      <c r="G8" s="4" t="s">
        <v>107</v>
      </c>
      <c r="H8" s="4">
        <v>13</v>
      </c>
      <c r="I8" s="4" t="s">
        <v>70</v>
      </c>
      <c r="J8" s="4" t="s">
        <v>71</v>
      </c>
      <c r="K8" s="4" t="s">
        <v>72</v>
      </c>
      <c r="L8" s="4" t="s">
        <v>73</v>
      </c>
      <c r="M8" s="4" t="s">
        <v>108</v>
      </c>
      <c r="N8" s="4" t="s">
        <v>109</v>
      </c>
      <c r="O8" s="4" t="s">
        <v>110</v>
      </c>
      <c r="P8" s="4">
        <v>1</v>
      </c>
      <c r="Q8" s="4" t="s">
        <v>111</v>
      </c>
      <c r="R8" s="4" t="s">
        <v>112</v>
      </c>
      <c r="S8" s="4" t="s">
        <v>79</v>
      </c>
      <c r="T8" s="4" t="s">
        <v>113</v>
      </c>
      <c r="U8" s="4" t="s">
        <v>114</v>
      </c>
      <c r="V8" s="4" t="s">
        <v>82</v>
      </c>
      <c r="W8" s="5" t="s">
        <v>83</v>
      </c>
      <c r="X8" s="5" t="s">
        <v>115</v>
      </c>
      <c r="Y8" s="5" t="s">
        <v>85</v>
      </c>
      <c r="Z8" s="5" t="s">
        <v>103</v>
      </c>
      <c r="AA8" s="5" t="s">
        <v>116</v>
      </c>
      <c r="AB8" s="6"/>
      <c r="AC8" s="6"/>
      <c r="AD8" s="6"/>
      <c r="AE8" s="6"/>
      <c r="AF8" s="6"/>
      <c r="AG8" s="6"/>
      <c r="AH8" s="6"/>
      <c r="AI8" s="6"/>
      <c r="AJ8" s="7" t="str">
        <f t="shared" si="0"/>
        <v>已填写</v>
      </c>
    </row>
    <row r="9" ht="409.5" customHeight="1" spans="1:36">
      <c r="A9" s="4" t="s">
        <v>117</v>
      </c>
      <c r="B9" s="4" t="s">
        <v>64</v>
      </c>
      <c r="C9" s="4" t="s">
        <v>65</v>
      </c>
      <c r="D9" s="4" t="s">
        <v>118</v>
      </c>
      <c r="E9" s="4" t="s">
        <v>119</v>
      </c>
      <c r="F9" s="4" t="s">
        <v>120</v>
      </c>
      <c r="G9" s="4" t="s">
        <v>121</v>
      </c>
      <c r="H9" s="4">
        <v>4</v>
      </c>
      <c r="I9" s="4" t="s">
        <v>122</v>
      </c>
      <c r="J9" s="4" t="s">
        <v>123</v>
      </c>
      <c r="K9" s="4" t="s">
        <v>72</v>
      </c>
      <c r="L9" s="4" t="s">
        <v>124</v>
      </c>
      <c r="M9" s="4" t="s">
        <v>125</v>
      </c>
      <c r="N9" s="4" t="s">
        <v>126</v>
      </c>
      <c r="O9" s="4" t="s">
        <v>127</v>
      </c>
      <c r="P9" s="4">
        <v>1</v>
      </c>
      <c r="Q9" s="4" t="s">
        <v>128</v>
      </c>
      <c r="R9" s="4" t="s">
        <v>129</v>
      </c>
      <c r="S9" s="4" t="s">
        <v>130</v>
      </c>
      <c r="T9" s="4" t="s">
        <v>131</v>
      </c>
      <c r="U9" s="4" t="s">
        <v>132</v>
      </c>
      <c r="V9" s="4" t="s">
        <v>82</v>
      </c>
      <c r="W9" s="5" t="s">
        <v>83</v>
      </c>
      <c r="X9" s="5" t="s">
        <v>133</v>
      </c>
      <c r="Y9" s="5" t="s">
        <v>85</v>
      </c>
      <c r="Z9" s="5" t="s">
        <v>134</v>
      </c>
      <c r="AA9" s="8" t="s">
        <v>135</v>
      </c>
      <c r="AB9" s="6"/>
      <c r="AC9" s="6"/>
      <c r="AD9" s="6"/>
      <c r="AE9" s="6"/>
      <c r="AF9" s="6"/>
      <c r="AG9" s="6"/>
      <c r="AH9" s="6"/>
      <c r="AI9" s="6"/>
      <c r="AJ9" s="7" t="str">
        <f t="shared" si="0"/>
        <v>已填写</v>
      </c>
    </row>
    <row r="10" ht="409.5" customHeight="1" spans="1:36">
      <c r="A10" s="4" t="s">
        <v>136</v>
      </c>
      <c r="B10" s="4" t="s">
        <v>64</v>
      </c>
      <c r="C10" s="4" t="s">
        <v>65</v>
      </c>
      <c r="D10" s="4" t="s">
        <v>118</v>
      </c>
      <c r="E10" s="4" t="s">
        <v>119</v>
      </c>
      <c r="F10" s="4" t="s">
        <v>137</v>
      </c>
      <c r="G10" s="4" t="s">
        <v>138</v>
      </c>
      <c r="H10" s="4">
        <v>5</v>
      </c>
      <c r="I10" s="4" t="s">
        <v>122</v>
      </c>
      <c r="J10" s="4" t="s">
        <v>123</v>
      </c>
      <c r="K10" s="4" t="s">
        <v>72</v>
      </c>
      <c r="L10" s="4" t="s">
        <v>124</v>
      </c>
      <c r="M10" s="4" t="s">
        <v>139</v>
      </c>
      <c r="N10" s="4" t="s">
        <v>140</v>
      </c>
      <c r="O10" s="4" t="s">
        <v>141</v>
      </c>
      <c r="P10" s="4">
        <v>1</v>
      </c>
      <c r="Q10" s="4" t="s">
        <v>142</v>
      </c>
      <c r="R10" s="4" t="s">
        <v>143</v>
      </c>
      <c r="S10" s="4" t="s">
        <v>72</v>
      </c>
      <c r="T10" s="4" t="s">
        <v>144</v>
      </c>
      <c r="U10" s="4" t="s">
        <v>145</v>
      </c>
      <c r="V10" s="4" t="s">
        <v>82</v>
      </c>
      <c r="W10" s="5" t="s">
        <v>83</v>
      </c>
      <c r="X10" s="5" t="s">
        <v>84</v>
      </c>
      <c r="Y10" s="5" t="s">
        <v>85</v>
      </c>
      <c r="Z10" s="5" t="s">
        <v>134</v>
      </c>
      <c r="AA10" s="8" t="s">
        <v>146</v>
      </c>
      <c r="AB10" s="6"/>
      <c r="AC10" s="6"/>
      <c r="AD10" s="6"/>
      <c r="AE10" s="6"/>
      <c r="AF10" s="6"/>
      <c r="AG10" s="6"/>
      <c r="AH10" s="6"/>
      <c r="AI10" s="6"/>
      <c r="AJ10" s="7" t="str">
        <f t="shared" si="0"/>
        <v>已填写</v>
      </c>
    </row>
    <row r="11" ht="409.5" customHeight="1" spans="1:36">
      <c r="A11" s="4" t="s">
        <v>147</v>
      </c>
      <c r="B11" s="4" t="s">
        <v>64</v>
      </c>
      <c r="C11" s="4" t="s">
        <v>65</v>
      </c>
      <c r="D11" s="4" t="s">
        <v>118</v>
      </c>
      <c r="E11" s="4" t="s">
        <v>119</v>
      </c>
      <c r="F11" s="4" t="s">
        <v>148</v>
      </c>
      <c r="G11" s="4" t="s">
        <v>149</v>
      </c>
      <c r="H11" s="4">
        <v>19</v>
      </c>
      <c r="I11" s="4" t="s">
        <v>122</v>
      </c>
      <c r="J11" s="4" t="s">
        <v>123</v>
      </c>
      <c r="K11" s="4" t="s">
        <v>72</v>
      </c>
      <c r="L11" s="4" t="s">
        <v>124</v>
      </c>
      <c r="M11" s="4" t="s">
        <v>150</v>
      </c>
      <c r="N11" s="4" t="s">
        <v>151</v>
      </c>
      <c r="O11" s="4" t="s">
        <v>152</v>
      </c>
      <c r="P11" s="4">
        <v>1</v>
      </c>
      <c r="Q11" s="4" t="s">
        <v>153</v>
      </c>
      <c r="R11" s="4" t="s">
        <v>154</v>
      </c>
      <c r="S11" s="4" t="s">
        <v>155</v>
      </c>
      <c r="T11" s="4" t="s">
        <v>156</v>
      </c>
      <c r="U11" s="4" t="s">
        <v>157</v>
      </c>
      <c r="V11" s="4" t="s">
        <v>82</v>
      </c>
      <c r="W11" s="5" t="s">
        <v>83</v>
      </c>
      <c r="X11" s="5" t="s">
        <v>84</v>
      </c>
      <c r="Y11" s="5" t="s">
        <v>85</v>
      </c>
      <c r="Z11" s="5" t="s">
        <v>158</v>
      </c>
      <c r="AA11" s="5" t="s">
        <v>159</v>
      </c>
      <c r="AB11" s="6"/>
      <c r="AC11" s="6"/>
      <c r="AD11" s="6"/>
      <c r="AE11" s="6"/>
      <c r="AF11" s="6"/>
      <c r="AG11" s="6"/>
      <c r="AH11" s="6"/>
      <c r="AI11" s="6"/>
      <c r="AJ11" s="7" t="str">
        <f t="shared" si="0"/>
        <v>已填写</v>
      </c>
    </row>
    <row r="12" ht="409.5" customHeight="1" spans="1:36">
      <c r="A12" s="4" t="s">
        <v>160</v>
      </c>
      <c r="B12" s="4" t="s">
        <v>64</v>
      </c>
      <c r="C12" s="4" t="s">
        <v>65</v>
      </c>
      <c r="D12" s="4" t="s">
        <v>118</v>
      </c>
      <c r="E12" s="4" t="s">
        <v>119</v>
      </c>
      <c r="F12" s="4" t="s">
        <v>148</v>
      </c>
      <c r="G12" s="4" t="s">
        <v>149</v>
      </c>
      <c r="H12" s="4">
        <v>19</v>
      </c>
      <c r="I12" s="4" t="s">
        <v>122</v>
      </c>
      <c r="J12" s="4" t="s">
        <v>123</v>
      </c>
      <c r="K12" s="4" t="s">
        <v>72</v>
      </c>
      <c r="L12" s="4" t="s">
        <v>124</v>
      </c>
      <c r="M12" s="4" t="s">
        <v>150</v>
      </c>
      <c r="N12" s="4" t="s">
        <v>151</v>
      </c>
      <c r="O12" s="4" t="s">
        <v>152</v>
      </c>
      <c r="P12" s="4">
        <v>1</v>
      </c>
      <c r="Q12" s="4" t="s">
        <v>153</v>
      </c>
      <c r="R12" s="4" t="s">
        <v>154</v>
      </c>
      <c r="S12" s="4" t="s">
        <v>155</v>
      </c>
      <c r="T12" s="4" t="s">
        <v>156</v>
      </c>
      <c r="U12" s="4" t="s">
        <v>157</v>
      </c>
      <c r="V12" s="4" t="s">
        <v>82</v>
      </c>
      <c r="W12" s="5" t="s">
        <v>83</v>
      </c>
      <c r="X12" s="5" t="s">
        <v>84</v>
      </c>
      <c r="Y12" s="5" t="s">
        <v>85</v>
      </c>
      <c r="Z12" s="5" t="s">
        <v>158</v>
      </c>
      <c r="AA12" s="5" t="s">
        <v>161</v>
      </c>
      <c r="AB12" s="6"/>
      <c r="AC12" s="6"/>
      <c r="AD12" s="6"/>
      <c r="AE12" s="6"/>
      <c r="AF12" s="6"/>
      <c r="AG12" s="6"/>
      <c r="AH12" s="6"/>
      <c r="AI12" s="6"/>
      <c r="AJ12" s="7" t="str">
        <f t="shared" si="0"/>
        <v>已填写</v>
      </c>
    </row>
    <row r="13" ht="409.5" customHeight="1" spans="1:36">
      <c r="A13" s="4" t="s">
        <v>162</v>
      </c>
      <c r="B13" s="4" t="s">
        <v>64</v>
      </c>
      <c r="C13" s="4" t="s">
        <v>65</v>
      </c>
      <c r="D13" s="4" t="s">
        <v>163</v>
      </c>
      <c r="E13" s="4" t="s">
        <v>164</v>
      </c>
      <c r="F13" s="4" t="s">
        <v>165</v>
      </c>
      <c r="G13" s="4" t="s">
        <v>166</v>
      </c>
      <c r="H13" s="4">
        <v>2</v>
      </c>
      <c r="I13" s="4" t="s">
        <v>167</v>
      </c>
      <c r="J13" s="4" t="s">
        <v>168</v>
      </c>
      <c r="K13" s="4" t="s">
        <v>72</v>
      </c>
      <c r="L13" s="4" t="s">
        <v>169</v>
      </c>
      <c r="M13" s="4" t="s">
        <v>170</v>
      </c>
      <c r="N13" s="4" t="s">
        <v>171</v>
      </c>
      <c r="O13" s="4" t="s">
        <v>172</v>
      </c>
      <c r="P13" s="4">
        <v>1</v>
      </c>
      <c r="Q13" s="4" t="s">
        <v>173</v>
      </c>
      <c r="R13" s="4" t="s">
        <v>174</v>
      </c>
      <c r="S13" s="4" t="s">
        <v>72</v>
      </c>
      <c r="T13" s="4" t="s">
        <v>175</v>
      </c>
      <c r="U13" s="4" t="s">
        <v>176</v>
      </c>
      <c r="V13" s="4" t="s">
        <v>82</v>
      </c>
      <c r="W13" s="5" t="s">
        <v>83</v>
      </c>
      <c r="X13" s="5" t="s">
        <v>84</v>
      </c>
      <c r="Y13" s="5" t="s">
        <v>85</v>
      </c>
      <c r="Z13" s="5" t="s">
        <v>177</v>
      </c>
      <c r="AA13" s="5" t="s">
        <v>178</v>
      </c>
      <c r="AB13" s="6"/>
      <c r="AC13" s="6"/>
      <c r="AD13" s="6"/>
      <c r="AE13" s="6"/>
      <c r="AF13" s="6"/>
      <c r="AG13" s="6"/>
      <c r="AH13" s="6"/>
      <c r="AI13" s="6"/>
      <c r="AJ13" s="7" t="str">
        <f t="shared" si="0"/>
        <v>已填写</v>
      </c>
    </row>
    <row r="14" ht="409.5" customHeight="1" spans="1:36">
      <c r="A14" s="4" t="s">
        <v>179</v>
      </c>
      <c r="B14" s="4" t="s">
        <v>64</v>
      </c>
      <c r="C14" s="4" t="s">
        <v>65</v>
      </c>
      <c r="D14" s="4" t="s">
        <v>163</v>
      </c>
      <c r="E14" s="4" t="s">
        <v>164</v>
      </c>
      <c r="F14" s="4" t="s">
        <v>180</v>
      </c>
      <c r="G14" s="4" t="s">
        <v>181</v>
      </c>
      <c r="H14" s="4">
        <v>2</v>
      </c>
      <c r="I14" s="4" t="s">
        <v>167</v>
      </c>
      <c r="J14" s="4" t="s">
        <v>168</v>
      </c>
      <c r="K14" s="4" t="s">
        <v>72</v>
      </c>
      <c r="L14" s="4" t="s">
        <v>169</v>
      </c>
      <c r="M14" s="4" t="s">
        <v>182</v>
      </c>
      <c r="N14" s="4" t="s">
        <v>183</v>
      </c>
      <c r="O14" s="4" t="s">
        <v>184</v>
      </c>
      <c r="P14" s="4">
        <v>1</v>
      </c>
      <c r="Q14" s="4" t="s">
        <v>185</v>
      </c>
      <c r="R14" s="4" t="s">
        <v>186</v>
      </c>
      <c r="S14" s="4" t="s">
        <v>72</v>
      </c>
      <c r="T14" s="4" t="s">
        <v>187</v>
      </c>
      <c r="U14" s="4" t="s">
        <v>188</v>
      </c>
      <c r="V14" s="4" t="s">
        <v>82</v>
      </c>
      <c r="W14" s="5" t="s">
        <v>83</v>
      </c>
      <c r="X14" s="5" t="s">
        <v>133</v>
      </c>
      <c r="Y14" s="5" t="s">
        <v>85</v>
      </c>
      <c r="Z14" s="5" t="s">
        <v>189</v>
      </c>
      <c r="AA14" s="5" t="s">
        <v>190</v>
      </c>
      <c r="AB14" s="6"/>
      <c r="AC14" s="6"/>
      <c r="AD14" s="6"/>
      <c r="AE14" s="6"/>
      <c r="AF14" s="6"/>
      <c r="AG14" s="6"/>
      <c r="AH14" s="6"/>
      <c r="AI14" s="6"/>
      <c r="AJ14" s="7" t="str">
        <f t="shared" si="0"/>
        <v>已填写</v>
      </c>
    </row>
    <row r="15" ht="409.5" customHeight="1" spans="1:36">
      <c r="A15" s="4" t="s">
        <v>191</v>
      </c>
      <c r="B15" s="4" t="s">
        <v>64</v>
      </c>
      <c r="C15" s="4" t="s">
        <v>65</v>
      </c>
      <c r="D15" s="4" t="s">
        <v>163</v>
      </c>
      <c r="E15" s="4" t="s">
        <v>164</v>
      </c>
      <c r="F15" s="4" t="s">
        <v>192</v>
      </c>
      <c r="G15" s="4" t="s">
        <v>193</v>
      </c>
      <c r="H15" s="4">
        <v>2</v>
      </c>
      <c r="I15" s="4" t="s">
        <v>167</v>
      </c>
      <c r="J15" s="4" t="s">
        <v>168</v>
      </c>
      <c r="K15" s="4" t="s">
        <v>72</v>
      </c>
      <c r="L15" s="4" t="s">
        <v>169</v>
      </c>
      <c r="M15" s="4" t="s">
        <v>194</v>
      </c>
      <c r="N15" s="4" t="s">
        <v>195</v>
      </c>
      <c r="O15" s="4" t="s">
        <v>196</v>
      </c>
      <c r="P15" s="4">
        <v>1</v>
      </c>
      <c r="Q15" s="4" t="s">
        <v>197</v>
      </c>
      <c r="R15" s="4" t="s">
        <v>198</v>
      </c>
      <c r="S15" s="4" t="s">
        <v>72</v>
      </c>
      <c r="T15" s="4" t="s">
        <v>199</v>
      </c>
      <c r="U15" s="4" t="s">
        <v>200</v>
      </c>
      <c r="V15" s="4" t="s">
        <v>82</v>
      </c>
      <c r="W15" s="5" t="s">
        <v>83</v>
      </c>
      <c r="X15" s="5" t="s">
        <v>133</v>
      </c>
      <c r="Y15" s="5" t="s">
        <v>85</v>
      </c>
      <c r="Z15" s="5" t="s">
        <v>201</v>
      </c>
      <c r="AA15" s="5" t="s">
        <v>202</v>
      </c>
      <c r="AB15" s="6"/>
      <c r="AC15" s="6"/>
      <c r="AD15" s="6"/>
      <c r="AE15" s="6"/>
      <c r="AF15" s="6"/>
      <c r="AG15" s="6"/>
      <c r="AH15" s="6"/>
      <c r="AI15" s="6"/>
      <c r="AJ15" s="7" t="str">
        <f t="shared" si="0"/>
        <v>已填写</v>
      </c>
    </row>
    <row r="16" ht="409.5" customHeight="1" spans="1:36">
      <c r="A16" s="4" t="s">
        <v>203</v>
      </c>
      <c r="B16" s="4" t="s">
        <v>64</v>
      </c>
      <c r="C16" s="4" t="s">
        <v>65</v>
      </c>
      <c r="D16" s="4" t="s">
        <v>163</v>
      </c>
      <c r="E16" s="4" t="s">
        <v>164</v>
      </c>
      <c r="F16" s="4" t="s">
        <v>204</v>
      </c>
      <c r="G16" s="4" t="s">
        <v>205</v>
      </c>
      <c r="H16" s="4">
        <v>6</v>
      </c>
      <c r="I16" s="4" t="s">
        <v>167</v>
      </c>
      <c r="J16" s="4" t="s">
        <v>168</v>
      </c>
      <c r="K16" s="4" t="s">
        <v>72</v>
      </c>
      <c r="L16" s="4" t="s">
        <v>169</v>
      </c>
      <c r="M16" s="4" t="s">
        <v>206</v>
      </c>
      <c r="N16" s="4" t="s">
        <v>207</v>
      </c>
      <c r="O16" s="4" t="s">
        <v>208</v>
      </c>
      <c r="P16" s="4">
        <v>1</v>
      </c>
      <c r="Q16" s="4" t="s">
        <v>209</v>
      </c>
      <c r="R16" s="4" t="s">
        <v>210</v>
      </c>
      <c r="S16" s="4" t="s">
        <v>72</v>
      </c>
      <c r="T16" s="4" t="s">
        <v>211</v>
      </c>
      <c r="U16" s="4" t="s">
        <v>212</v>
      </c>
      <c r="V16" s="4" t="s">
        <v>82</v>
      </c>
      <c r="W16" s="5" t="s">
        <v>83</v>
      </c>
      <c r="X16" s="5" t="s">
        <v>133</v>
      </c>
      <c r="Y16" s="5" t="s">
        <v>85</v>
      </c>
      <c r="Z16" s="5" t="s">
        <v>213</v>
      </c>
      <c r="AA16" s="8" t="s">
        <v>214</v>
      </c>
      <c r="AB16" s="6"/>
      <c r="AC16" s="6"/>
      <c r="AD16" s="6"/>
      <c r="AE16" s="6"/>
      <c r="AF16" s="6"/>
      <c r="AG16" s="6"/>
      <c r="AH16" s="6"/>
      <c r="AI16" s="6"/>
      <c r="AJ16" s="7" t="str">
        <f t="shared" si="0"/>
        <v>已填写</v>
      </c>
    </row>
    <row r="17" ht="409.5" customHeight="1" spans="1:36">
      <c r="A17" s="4" t="s">
        <v>215</v>
      </c>
      <c r="B17" s="4" t="s">
        <v>64</v>
      </c>
      <c r="C17" s="4" t="s">
        <v>65</v>
      </c>
      <c r="D17" s="4" t="s">
        <v>163</v>
      </c>
      <c r="E17" s="4" t="s">
        <v>164</v>
      </c>
      <c r="F17" s="4" t="s">
        <v>216</v>
      </c>
      <c r="G17" s="4" t="s">
        <v>217</v>
      </c>
      <c r="H17" s="4">
        <v>7</v>
      </c>
      <c r="I17" s="4" t="s">
        <v>167</v>
      </c>
      <c r="J17" s="4" t="s">
        <v>168</v>
      </c>
      <c r="K17" s="4" t="s">
        <v>72</v>
      </c>
      <c r="L17" s="4" t="s">
        <v>169</v>
      </c>
      <c r="M17" s="4" t="s">
        <v>206</v>
      </c>
      <c r="N17" s="4" t="s">
        <v>207</v>
      </c>
      <c r="O17" s="4" t="s">
        <v>208</v>
      </c>
      <c r="P17" s="4">
        <v>1</v>
      </c>
      <c r="Q17" s="4" t="s">
        <v>209</v>
      </c>
      <c r="R17" s="4" t="s">
        <v>210</v>
      </c>
      <c r="S17" s="4" t="s">
        <v>72</v>
      </c>
      <c r="T17" s="4" t="s">
        <v>211</v>
      </c>
      <c r="U17" s="4" t="s">
        <v>212</v>
      </c>
      <c r="V17" s="4" t="s">
        <v>82</v>
      </c>
      <c r="W17" s="5" t="s">
        <v>83</v>
      </c>
      <c r="X17" s="5" t="s">
        <v>84</v>
      </c>
      <c r="Y17" s="5" t="s">
        <v>85</v>
      </c>
      <c r="Z17" s="5" t="s">
        <v>213</v>
      </c>
      <c r="AA17" s="5" t="s">
        <v>218</v>
      </c>
      <c r="AB17" s="6"/>
      <c r="AC17" s="6"/>
      <c r="AD17" s="6"/>
      <c r="AE17" s="6"/>
      <c r="AF17" s="6"/>
      <c r="AG17" s="6"/>
      <c r="AH17" s="6"/>
      <c r="AI17" s="6"/>
      <c r="AJ17" s="7" t="str">
        <f t="shared" si="0"/>
        <v>已填写</v>
      </c>
    </row>
    <row r="18" ht="409.5" customHeight="1" spans="1:36">
      <c r="A18" s="4" t="s">
        <v>219</v>
      </c>
      <c r="B18" s="4" t="s">
        <v>64</v>
      </c>
      <c r="C18" s="4" t="s">
        <v>65</v>
      </c>
      <c r="D18" s="4" t="s">
        <v>220</v>
      </c>
      <c r="E18" s="4" t="s">
        <v>221</v>
      </c>
      <c r="F18" s="4" t="s">
        <v>222</v>
      </c>
      <c r="G18" s="4" t="s">
        <v>223</v>
      </c>
      <c r="H18" s="4">
        <v>6</v>
      </c>
      <c r="I18" s="4" t="s">
        <v>224</v>
      </c>
      <c r="J18" s="4" t="s">
        <v>225</v>
      </c>
      <c r="K18" s="4" t="s">
        <v>72</v>
      </c>
      <c r="L18" s="4" t="s">
        <v>226</v>
      </c>
      <c r="M18" s="4" t="s">
        <v>227</v>
      </c>
      <c r="N18" s="4" t="s">
        <v>228</v>
      </c>
      <c r="O18" s="4" t="s">
        <v>229</v>
      </c>
      <c r="P18" s="4">
        <v>1</v>
      </c>
      <c r="Q18" s="4" t="s">
        <v>230</v>
      </c>
      <c r="R18" s="4" t="s">
        <v>231</v>
      </c>
      <c r="S18" s="4" t="s">
        <v>72</v>
      </c>
      <c r="T18" s="4" t="s">
        <v>232</v>
      </c>
      <c r="U18" s="4" t="s">
        <v>233</v>
      </c>
      <c r="V18" s="4" t="s">
        <v>82</v>
      </c>
      <c r="W18" s="5" t="s">
        <v>83</v>
      </c>
      <c r="X18" s="5" t="s">
        <v>133</v>
      </c>
      <c r="Y18" s="5" t="s">
        <v>85</v>
      </c>
      <c r="Z18" s="5" t="s">
        <v>234</v>
      </c>
      <c r="AA18" s="5" t="s">
        <v>235</v>
      </c>
      <c r="AB18" s="6"/>
      <c r="AC18" s="6"/>
      <c r="AD18" s="6"/>
      <c r="AE18" s="6"/>
      <c r="AF18" s="6"/>
      <c r="AG18" s="6"/>
      <c r="AH18" s="6"/>
      <c r="AI18" s="6"/>
      <c r="AJ18" s="7" t="str">
        <f t="shared" si="0"/>
        <v>已填写</v>
      </c>
    </row>
    <row r="19" ht="409.5" customHeight="1" spans="1:36">
      <c r="A19" s="4" t="s">
        <v>236</v>
      </c>
      <c r="B19" s="4" t="s">
        <v>64</v>
      </c>
      <c r="C19" s="4" t="s">
        <v>65</v>
      </c>
      <c r="D19" s="4" t="s">
        <v>220</v>
      </c>
      <c r="E19" s="4" t="s">
        <v>221</v>
      </c>
      <c r="F19" s="4" t="s">
        <v>237</v>
      </c>
      <c r="G19" s="4" t="s">
        <v>238</v>
      </c>
      <c r="H19" s="4">
        <v>7</v>
      </c>
      <c r="I19" s="4" t="s">
        <v>224</v>
      </c>
      <c r="J19" s="4" t="s">
        <v>225</v>
      </c>
      <c r="K19" s="4" t="s">
        <v>72</v>
      </c>
      <c r="L19" s="4" t="s">
        <v>226</v>
      </c>
      <c r="M19" s="4" t="s">
        <v>239</v>
      </c>
      <c r="N19" s="4" t="s">
        <v>240</v>
      </c>
      <c r="O19" s="4" t="s">
        <v>241</v>
      </c>
      <c r="P19" s="4">
        <v>1</v>
      </c>
      <c r="Q19" s="4" t="s">
        <v>242</v>
      </c>
      <c r="R19" s="4" t="s">
        <v>243</v>
      </c>
      <c r="S19" s="4" t="s">
        <v>72</v>
      </c>
      <c r="T19" s="4" t="s">
        <v>244</v>
      </c>
      <c r="U19" s="4" t="s">
        <v>245</v>
      </c>
      <c r="V19" s="4" t="s">
        <v>82</v>
      </c>
      <c r="W19" s="5" t="s">
        <v>83</v>
      </c>
      <c r="X19" s="5" t="s">
        <v>84</v>
      </c>
      <c r="Y19" s="5" t="s">
        <v>85</v>
      </c>
      <c r="Z19" s="5" t="s">
        <v>246</v>
      </c>
      <c r="AA19" s="5" t="s">
        <v>247</v>
      </c>
      <c r="AB19" s="6"/>
      <c r="AC19" s="6"/>
      <c r="AD19" s="6"/>
      <c r="AE19" s="6"/>
      <c r="AF19" s="6"/>
      <c r="AG19" s="6"/>
      <c r="AH19" s="6"/>
      <c r="AI19" s="6"/>
      <c r="AJ19" s="7" t="str">
        <f t="shared" si="0"/>
        <v>已填写</v>
      </c>
    </row>
    <row r="20" ht="409.5" customHeight="1" spans="1:36">
      <c r="A20" s="4" t="s">
        <v>248</v>
      </c>
      <c r="B20" s="4" t="s">
        <v>64</v>
      </c>
      <c r="C20" s="4" t="s">
        <v>65</v>
      </c>
      <c r="D20" s="4" t="s">
        <v>220</v>
      </c>
      <c r="E20" s="4" t="s">
        <v>221</v>
      </c>
      <c r="F20" s="4" t="s">
        <v>249</v>
      </c>
      <c r="G20" s="4" t="s">
        <v>250</v>
      </c>
      <c r="H20" s="4">
        <v>7</v>
      </c>
      <c r="I20" s="4" t="s">
        <v>224</v>
      </c>
      <c r="J20" s="4" t="s">
        <v>225</v>
      </c>
      <c r="K20" s="4" t="s">
        <v>72</v>
      </c>
      <c r="L20" s="4" t="s">
        <v>226</v>
      </c>
      <c r="M20" s="4" t="s">
        <v>251</v>
      </c>
      <c r="N20" s="4" t="s">
        <v>252</v>
      </c>
      <c r="O20" s="4" t="s">
        <v>253</v>
      </c>
      <c r="P20" s="4">
        <v>1</v>
      </c>
      <c r="Q20" s="4" t="s">
        <v>254</v>
      </c>
      <c r="R20" s="4" t="s">
        <v>255</v>
      </c>
      <c r="S20" s="4" t="s">
        <v>72</v>
      </c>
      <c r="T20" s="4" t="s">
        <v>256</v>
      </c>
      <c r="U20" s="4" t="s">
        <v>257</v>
      </c>
      <c r="V20" s="4" t="s">
        <v>82</v>
      </c>
      <c r="W20" s="5" t="s">
        <v>83</v>
      </c>
      <c r="X20" s="5" t="s">
        <v>258</v>
      </c>
      <c r="Y20" s="5" t="s">
        <v>85</v>
      </c>
      <c r="Z20" s="5" t="s">
        <v>259</v>
      </c>
      <c r="AA20" s="5" t="s">
        <v>260</v>
      </c>
      <c r="AB20" s="6"/>
      <c r="AC20" s="6"/>
      <c r="AD20" s="6"/>
      <c r="AE20" s="6"/>
      <c r="AF20" s="6"/>
      <c r="AG20" s="6"/>
      <c r="AH20" s="6"/>
      <c r="AI20" s="6"/>
      <c r="AJ20" s="7" t="str">
        <f t="shared" si="0"/>
        <v>已填写</v>
      </c>
    </row>
    <row r="21" ht="409.5" customHeight="1" spans="1:36">
      <c r="A21" s="4" t="s">
        <v>261</v>
      </c>
      <c r="B21" s="4" t="s">
        <v>64</v>
      </c>
      <c r="C21" s="4" t="s">
        <v>65</v>
      </c>
      <c r="D21" s="4" t="s">
        <v>220</v>
      </c>
      <c r="E21" s="4" t="s">
        <v>221</v>
      </c>
      <c r="F21" s="4" t="s">
        <v>262</v>
      </c>
      <c r="G21" s="4" t="s">
        <v>263</v>
      </c>
      <c r="H21" s="4">
        <v>8</v>
      </c>
      <c r="I21" s="4" t="s">
        <v>224</v>
      </c>
      <c r="J21" s="4" t="s">
        <v>225</v>
      </c>
      <c r="K21" s="4" t="s">
        <v>72</v>
      </c>
      <c r="L21" s="4" t="s">
        <v>226</v>
      </c>
      <c r="M21" s="4" t="s">
        <v>264</v>
      </c>
      <c r="N21" s="4" t="s">
        <v>265</v>
      </c>
      <c r="O21" s="4" t="s">
        <v>266</v>
      </c>
      <c r="P21" s="4">
        <v>1</v>
      </c>
      <c r="Q21" s="4" t="s">
        <v>267</v>
      </c>
      <c r="R21" s="4" t="s">
        <v>268</v>
      </c>
      <c r="S21" s="4" t="s">
        <v>72</v>
      </c>
      <c r="T21" s="4" t="s">
        <v>269</v>
      </c>
      <c r="U21" s="4" t="s">
        <v>270</v>
      </c>
      <c r="V21" s="4" t="s">
        <v>82</v>
      </c>
      <c r="W21" s="5" t="s">
        <v>83</v>
      </c>
      <c r="X21" s="5" t="s">
        <v>133</v>
      </c>
      <c r="Y21" s="5" t="s">
        <v>85</v>
      </c>
      <c r="Z21" s="5" t="s">
        <v>234</v>
      </c>
      <c r="AA21" s="8" t="s">
        <v>271</v>
      </c>
      <c r="AB21" s="6"/>
      <c r="AC21" s="6"/>
      <c r="AD21" s="6"/>
      <c r="AE21" s="6"/>
      <c r="AF21" s="6"/>
      <c r="AG21" s="6"/>
      <c r="AH21" s="6"/>
      <c r="AI21" s="6"/>
      <c r="AJ21" s="7" t="str">
        <f t="shared" si="0"/>
        <v>已填写</v>
      </c>
    </row>
    <row r="22" ht="409.5" customHeight="1" spans="1:36">
      <c r="A22" s="4" t="s">
        <v>272</v>
      </c>
      <c r="B22" s="4" t="s">
        <v>64</v>
      </c>
      <c r="C22" s="4" t="s">
        <v>65</v>
      </c>
      <c r="D22" s="4" t="s">
        <v>220</v>
      </c>
      <c r="E22" s="4" t="s">
        <v>221</v>
      </c>
      <c r="F22" s="4" t="s">
        <v>262</v>
      </c>
      <c r="G22" s="4" t="s">
        <v>263</v>
      </c>
      <c r="H22" s="4">
        <v>8</v>
      </c>
      <c r="I22" s="4" t="s">
        <v>224</v>
      </c>
      <c r="J22" s="4" t="s">
        <v>225</v>
      </c>
      <c r="K22" s="4" t="s">
        <v>72</v>
      </c>
      <c r="L22" s="4" t="s">
        <v>226</v>
      </c>
      <c r="M22" s="4" t="s">
        <v>264</v>
      </c>
      <c r="N22" s="4" t="s">
        <v>265</v>
      </c>
      <c r="O22" s="4" t="s">
        <v>266</v>
      </c>
      <c r="P22" s="4">
        <v>1</v>
      </c>
      <c r="Q22" s="4" t="s">
        <v>267</v>
      </c>
      <c r="R22" s="4" t="s">
        <v>268</v>
      </c>
      <c r="S22" s="4" t="s">
        <v>72</v>
      </c>
      <c r="T22" s="4" t="s">
        <v>269</v>
      </c>
      <c r="U22" s="4" t="s">
        <v>270</v>
      </c>
      <c r="V22" s="4" t="s">
        <v>82</v>
      </c>
      <c r="W22" s="5" t="s">
        <v>83</v>
      </c>
      <c r="X22" s="5" t="s">
        <v>133</v>
      </c>
      <c r="Y22" s="5" t="s">
        <v>85</v>
      </c>
      <c r="Z22" s="5" t="s">
        <v>234</v>
      </c>
      <c r="AA22" s="8" t="s">
        <v>273</v>
      </c>
      <c r="AB22" s="6"/>
      <c r="AC22" s="6"/>
      <c r="AD22" s="6"/>
      <c r="AE22" s="6"/>
      <c r="AF22" s="6"/>
      <c r="AG22" s="6"/>
      <c r="AH22" s="6"/>
      <c r="AI22" s="6"/>
      <c r="AJ22" s="7" t="str">
        <f t="shared" si="0"/>
        <v>已填写</v>
      </c>
    </row>
    <row r="23" ht="409.5" customHeight="1" spans="1:36">
      <c r="A23" s="4" t="s">
        <v>274</v>
      </c>
      <c r="B23" s="4" t="s">
        <v>64</v>
      </c>
      <c r="C23" s="4" t="s">
        <v>65</v>
      </c>
      <c r="D23" s="4" t="s">
        <v>220</v>
      </c>
      <c r="E23" s="4" t="s">
        <v>221</v>
      </c>
      <c r="F23" s="4" t="s">
        <v>275</v>
      </c>
      <c r="G23" s="4" t="s">
        <v>276</v>
      </c>
      <c r="H23" s="4">
        <v>8</v>
      </c>
      <c r="I23" s="4" t="s">
        <v>224</v>
      </c>
      <c r="J23" s="4" t="s">
        <v>225</v>
      </c>
      <c r="K23" s="4" t="s">
        <v>72</v>
      </c>
      <c r="L23" s="4" t="s">
        <v>226</v>
      </c>
      <c r="M23" s="4" t="s">
        <v>277</v>
      </c>
      <c r="N23" s="4" t="s">
        <v>278</v>
      </c>
      <c r="O23" s="4" t="s">
        <v>279</v>
      </c>
      <c r="P23" s="4">
        <v>1</v>
      </c>
      <c r="Q23" s="4" t="s">
        <v>280</v>
      </c>
      <c r="R23" s="4" t="s">
        <v>281</v>
      </c>
      <c r="S23" s="4" t="s">
        <v>282</v>
      </c>
      <c r="T23" s="4" t="s">
        <v>283</v>
      </c>
      <c r="U23" s="4" t="s">
        <v>284</v>
      </c>
      <c r="V23" s="4" t="s">
        <v>82</v>
      </c>
      <c r="W23" s="5" t="s">
        <v>83</v>
      </c>
      <c r="X23" s="5" t="s">
        <v>84</v>
      </c>
      <c r="Y23" s="5" t="s">
        <v>85</v>
      </c>
      <c r="Z23" s="5" t="s">
        <v>285</v>
      </c>
      <c r="AA23" s="5" t="s">
        <v>286</v>
      </c>
      <c r="AB23" s="6"/>
      <c r="AC23" s="6"/>
      <c r="AD23" s="6"/>
      <c r="AE23" s="6"/>
      <c r="AF23" s="6"/>
      <c r="AG23" s="6"/>
      <c r="AH23" s="6"/>
      <c r="AI23" s="6"/>
      <c r="AJ23" s="7" t="str">
        <f t="shared" si="0"/>
        <v>已填写</v>
      </c>
    </row>
    <row r="24" ht="409.5" customHeight="1" spans="1:36">
      <c r="A24" s="4" t="s">
        <v>287</v>
      </c>
      <c r="B24" s="4" t="s">
        <v>64</v>
      </c>
      <c r="C24" s="4" t="s">
        <v>65</v>
      </c>
      <c r="D24" s="4" t="s">
        <v>288</v>
      </c>
      <c r="E24" s="4" t="s">
        <v>289</v>
      </c>
      <c r="F24" s="4" t="s">
        <v>290</v>
      </c>
      <c r="G24" s="4" t="s">
        <v>291</v>
      </c>
      <c r="H24" s="4">
        <v>6</v>
      </c>
      <c r="I24" s="4" t="s">
        <v>292</v>
      </c>
      <c r="J24" s="4" t="s">
        <v>293</v>
      </c>
      <c r="K24" s="4" t="s">
        <v>72</v>
      </c>
      <c r="L24" s="4" t="s">
        <v>294</v>
      </c>
      <c r="M24" s="4" t="s">
        <v>295</v>
      </c>
      <c r="N24" s="4" t="s">
        <v>296</v>
      </c>
      <c r="O24" s="4" t="s">
        <v>297</v>
      </c>
      <c r="P24" s="4">
        <v>1</v>
      </c>
      <c r="Q24" s="4" t="s">
        <v>298</v>
      </c>
      <c r="R24" s="4" t="s">
        <v>299</v>
      </c>
      <c r="S24" s="4" t="s">
        <v>72</v>
      </c>
      <c r="T24" s="4" t="s">
        <v>300</v>
      </c>
      <c r="U24" s="4" t="s">
        <v>301</v>
      </c>
      <c r="V24" s="4" t="s">
        <v>82</v>
      </c>
      <c r="W24" s="5" t="s">
        <v>83</v>
      </c>
      <c r="X24" s="5" t="s">
        <v>115</v>
      </c>
      <c r="Y24" s="5" t="s">
        <v>85</v>
      </c>
      <c r="Z24" s="5" t="s">
        <v>302</v>
      </c>
      <c r="AA24" s="5" t="s">
        <v>303</v>
      </c>
      <c r="AB24" s="6"/>
      <c r="AC24" s="6"/>
      <c r="AD24" s="6"/>
      <c r="AE24" s="6"/>
      <c r="AF24" s="6"/>
      <c r="AG24" s="6"/>
      <c r="AH24" s="6"/>
      <c r="AI24" s="6"/>
      <c r="AJ24" s="7" t="str">
        <f t="shared" si="0"/>
        <v>已填写</v>
      </c>
    </row>
  </sheetData>
  <mergeCells count="2">
    <mergeCell ref="A1:AJ1"/>
    <mergeCell ref="A2:AJ2"/>
  </mergeCells>
  <conditionalFormatting sqref="X5:X24">
    <cfRule type="containsBlanks" dxfId="0" priority="1">
      <formula>LEN(TRIM(X5))=0</formula>
    </cfRule>
  </conditionalFormatting>
  <conditionalFormatting sqref="Y5:Y24">
    <cfRule type="containsBlanks" dxfId="0" priority="2">
      <formula>LEN(TRIM(Y5))=0</formula>
    </cfRule>
  </conditionalFormatting>
  <conditionalFormatting sqref="AJ5:AJ24">
    <cfRule type="containsText" dxfId="1" priority="3" operator="between" text="待填写">
      <formula>NOT(ISERROR(SEARCH("待填写",AJ5)))</formula>
    </cfRule>
    <cfRule type="containsText" dxfId="2" priority="4" operator="between" text="已填写">
      <formula>NOT(ISERROR(SEARCH("已填写",AJ5)))</formula>
    </cfRule>
  </conditionalFormatting>
  <dataValidations count="2">
    <dataValidation type="list" sqref="X5:X24 AC5:AC24">
      <formula1>"ACCURATE,NOT_ACCURATE,IRRELEVANT"</formula1>
    </dataValidation>
    <dataValidation type="list" sqref="Y5:Y24 AD5:AD24">
      <formula1>"已定位,待定位,源文缺失,不适用"</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Protocol</vt:lpstr>
      <vt:lpstr>Blind_Annotation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MoyoungTsai</cp:lastModifiedBy>
  <dcterms:created xsi:type="dcterms:W3CDTF">2026-10-04T02:25:00Z</dcterms:created>
  <dcterms:modified xsi:type="dcterms:W3CDTF">2026-10-04T02:56:57Z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599194007839421EBCAF69821203DB68_12</vt:lpwstr>
  </property>
  <property fmtid="{D5CDD505-2E9C-101B-9397-08002B2CF9AE}" pid="3" name="KSOProductBuildVer">
    <vt:lpwstr>2052-12.1.0.28505</vt:lpwstr>
  </property>
  <property fmtid="{D5CDD505-2E9C-101B-9397-08002B2CF9AE}" pid="4" name="CalculationRule">
    <vt:i4>0</vt:i4>
  </property>
</Properties>
</file>