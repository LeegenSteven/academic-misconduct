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0fb2ece6124088" /></Relationships>
</file>

<file path=xl/workbook.xml><?xml version="1.0" encoding="utf-8"?>
<x:workbook xmlns:x="http://schemas.openxmlformats.org/spreadsheetml/2006/main">
  <x:sheets>
    <x:sheet xmlns:r="http://schemas.openxmlformats.org/officeDocument/2006/relationships" name="Protocol" sheetId="1" r:id="R15db2d9c42f14123"/>
    <x:sheet xmlns:r="http://schemas.openxmlformats.org/officeDocument/2006/relationships" name="Blind_Annotation" sheetId="2" r:id="Rd8ec6fd2fcb54c36"/>
  </x:sheets>
</x:workbook>
</file>

<file path=xl/sharedStrings.xml><?xml version="1.0" encoding="utf-8"?>
<x:sst xmlns:x="http://schemas.openxmlformats.org/spreadsheetml/2006/main">
  <x:si>
    <x:t xml:space="preserve">用途</x:t>
  </x:si>
  <x:si>
    <x:t xml:space="preserve">候选范围</x:t>
  </x:si>
  <x:si>
    <x:t xml:space="preserve">PMC-OA-V2-01—20，共 20 条自然发生引用候选。</x:t>
  </x:si>
  <x:si>
    <x:t xml:space="preserve">当前状态</x:t>
  </x:si>
  <x:si>
    <x:t xml:space="preserve">候选池；尚未完成完整 train/dev/test、调参和评测集去重。</x:t>
  </x:si>
  <x:si>
    <x:t xml:space="preserve">盲标要求</x:t>
  </x:si>
  <x:si>
    <x:t xml:space="preserve">标签</x:t>
  </x:si>
  <x:si>
    <x:t xml:space="preserve">ACCURATE / NOT_ACCURATE / IRRELEVANT；不确定时先保留理由并标 evidence_status。</x:t>
  </x:si>
  <x:si>
    <x:t xml:space="preserve">证据状态</x:t>
  </x:si>
  <x:si>
    <x:t xml:space="preserve">已定位 / 待定位 / 源文缺失 / 不适用；证据状态不是准确性标签。</x:t>
  </x:si>
  <x:si>
    <x:t xml:space="preserve">定位口径</x:t>
  </x:si>
  <x:si>
    <x:t xml:space="preserve">优先使用稳定段落或页码；若暂时只有 XML 段落，完整记录段落号和 URL。</x:t>
  </x:si>
  <x:si>
    <x:t xml:space="preserve">回传内容</x:t>
  </x:si>
  <x:si>
    <x:t xml:space="preserve">请保留 candidate_id，并回传填写后的表格；双方原值回收后再共同裁决。</x:t>
  </x:si>
  <x:si>
    <x:t xml:space="preserve">可填写字段</x:t>
  </x:si>
  <x:si>
    <x:t xml:space="preserve">annotator_1_id；annotator_1_label；annotator_1_evidence_status；annotator_1_evidence_locator；annotator_1_reason</x:t>
  </x:si>
  <x:si>
    <x:t xml:space="preserve">不要填写</x:t>
  </x:si>
  <x:si>
    <x:t xml:space="preserve">annotator_2_*；project_label；adjudicated_label；adjudication_reason</x:t>
  </x:si>
  <x:si>
    <x:t xml:space="preserve">自然/构造标记</x:t>
  </x:si>
  <x:si>
    <x:t xml:space="preserve">本批均为 natural；不得改写为 constructed。</x:t>
  </x:si>
  <x:si>
    <x:t xml:space="preserve">数据来源</x:t>
  </x:si>
  <x:si>
    <x:t xml:space="preserve">PMC 开放全文；来源 URL、许可和 SHA-256 已写入主表。</x:t>
  </x:si>
  <x:si>
    <x:t xml:space="preserve">candidate_id</x:t>
  </x:si>
  <x:si>
    <x:t xml:space="preserve">natural_or_constructed</x:t>
  </x:si>
  <x:si>
    <x:t xml:space="preserve">candidate_status</x:t>
  </x:si>
  <x:si>
    <x:t xml:space="preserve">citing_pmcid</x:t>
  </x:si>
  <x:si>
    <x:t xml:space="preserve">citing_title</x:t>
  </x:si>
  <x:si>
    <x:t xml:space="preserve">citing_context_marked</x:t>
  </x:si>
  <x:si>
    <x:t xml:space="preserve">citing_sentence_marked</x:t>
  </x:si>
  <x:si>
    <x:t xml:space="preserve">citing_xml_paragraph</x:t>
  </x:si>
  <x:si>
    <x:t xml:space="preserve">citing_doi</x:t>
  </x:si>
  <x:si>
    <x:t xml:space="preserve">citing_url</x:t>
  </x:si>
  <x:si>
    <x:t xml:space="preserve">citing_license</x:t>
  </x:si>
  <x:si>
    <x:t xml:space="preserve">citing_xml_sha256</x:t>
  </x:si>
  <x:si>
    <x:t xml:space="preserve">cited_pmcid</x:t>
  </x:si>
  <x:si>
    <x:t xml:space="preserve">cited_title</x:t>
  </x:si>
  <x:si>
    <x:t xml:space="preserve">cited_evidence</x:t>
  </x:si>
  <x:si>
    <x:t xml:space="preserve">cited_xml_paragraph</x:t>
  </x:si>
  <x:si>
    <x:t xml:space="preserve">cited_doi</x:t>
  </x:si>
  <x:si>
    <x:t xml:space="preserve">cited_url</x:t>
  </x:si>
  <x:si>
    <x:t xml:space="preserve">cited_license</x:t>
  </x:si>
  <x:si>
    <x:t xml:space="preserve">cited_xml_sha256</x:t>
  </x:si>
  <x:si>
    <x:t xml:space="preserve">evidence_locator</x:t>
  </x:si>
  <x:si>
    <x:t xml:space="preserve">overlap_check</x:t>
  </x:si>
  <x:si>
    <x:t xml:space="preserve">annotator_1_id</x:t>
  </x:si>
  <x:si>
    <x:t xml:space="preserve">annotator_1_label</x:t>
  </x:si>
  <x:si>
    <x:t xml:space="preserve">annotator_1_evidence_status</x:t>
  </x:si>
  <x:si>
    <x:t xml:space="preserve">annotator_1_evidence_locator</x:t>
  </x:si>
  <x:si>
    <x:t xml:space="preserve">annotator_1_reason</x:t>
  </x:si>
  <x:si>
    <x:t xml:space="preserve">annotator_2_id</x:t>
  </x:si>
  <x:si>
    <x:t xml:space="preserve">annotator_2_label</x:t>
  </x:si>
  <x:si>
    <x:t xml:space="preserve">annotator_2_evidence_status</x:t>
  </x:si>
  <x:si>
    <x:t xml:space="preserve">annotator_2_evidence_locator</x:t>
  </x:si>
  <x:si>
    <x:t xml:space="preserve">annotator_2_reason</x:t>
  </x:si>
  <x:si>
    <x:t xml:space="preserve">project_label</x:t>
  </x:si>
  <x:si>
    <x:t xml:space="preserve">adjudicated_label</x:t>
  </x:si>
  <x:si>
    <x:t xml:space="preserve">adjudication_reason</x:t>
  </x:si>
  <x:si>
    <x:t xml:space="preserve">return_status</x:t>
  </x:si>
  <x:si>
    <x:t xml:space="preserve">PMC-OA-V2-01</x:t>
  </x:si>
  <x:si>
    <x:t xml:space="preserve">natural</x:t>
  </x:si>
  <x:si>
    <x:t xml:space="preserve">待人工筛选/双人盲标</x:t>
  </x:si>
  <x:si>
    <x:t xml:space="preserve">PMC13627012</x:t>
  </x:si>
  <x:si>
    <x:t xml:space="preserve">Flow diversion versus conventional endovascular treatment for ruptured basilar artery dissecting aneurysms: a single-center cohort study</x:t>
  </x:si>
  <x:si>
    <x:t xml:space="preserve">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t>
  </x:si>
  <x:si>
    <x:t xml:space="preserve">Consequently, experience derived predominantly from vertebral artery dissecting aneurysms cannot be directly extrapolated to BADA ([CITED:PMC10715499]).</x:t>
  </x:si>
  <x:si>
    <x:t xml:space="preserve">10.3389/fneur.2026.1940068</x:t>
  </x:si>
  <x:si>
    <x:t xml:space="preserve">https://pmc.ncbi.nlm.nih.gov/articles/PMC13627012/</x:t>
  </x:si>
  <x:si>
    <x:t xml:space="preserve">https://creativecommons.org/licenses/by/4.0/</x:t>
  </x:si>
  <x:si>
    <x:t xml:space="preserve">F92992333EBF802EDFC11D8E3B0790C3B728EA93D3F6417B845FEC56CE933B67</x:t>
  </x:si>
  <x:si>
    <x:t xml:space="preserve">PMC10715499</x:t>
  </x:si>
  <x:si>
    <x:t xml:space="preserve">Reconstructive endovascular treatment for basilar artery trunk aneurysms: complications and clinical and angiography outcomes</x:t>
  </x:si>
  <x:si>
    <x:t xml:space="preserve">Basilar artery trunk aneurysms (BTAs) are rare intracranial aneurysms. We aim to investigate the procedural complications and clinical and angiographic outcomes of BTAs treated with reconstructive endovascular treatment (EVT).</x:t>
  </x:si>
  <x:si>
    <x:t xml:space="preserve">10.1136/jnis-2022-019864</x:t>
  </x:si>
  <x:si>
    <x:t xml:space="preserve">https://pmc.ncbi.nlm.nih.gov/articles/PMC10715499/</x:t>
  </x:si>
  <x:si>
    <x:t xml:space="preserve">https://creativecommons.org/licenses/by-nc/4.0/</x:t>
  </x:si>
  <x:si>
    <x:t xml:space="preserve">B0E94E71DA1EF955F0404E56EA4584E885A5A462D50FF0C6D9978C3BBFD7EB45</x:t>
  </x:si>
  <x:si>
    <x:t xml:space="preserve">NCBI PMC OA BioC JSON; PMC10715499; section=ABSTRACT; passage_index=2, offset=137; exact raw/normalized evidence passage; URL=https://www.ncbi.nlm.nih.gov/research/bionlp/RESTful/pmcoa.cgi/PMC10715499/unicode</x:t>
  </x:si>
  <x:si>
    <x:t xml:space="preserve">待与完整 train/dev/test、调参和评测清单复核</x:t>
  </x:si>
  <x:si>
    <x:t xml:space="preserve">PMC-OA-V2-02</x:t>
  </x:si>
  <x:si>
    <x:t xml:space="preserve">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t>
  </x:si>
  <x:si>
    <x:t xml:space="preserve">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t>
  </x:si>
  <x:si>
    <x:t xml:space="preserve">PMC-OA-V2-03</x:t>
  </x:si>
  <x:si>
    <x:t xml:space="preserve">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t>
  </x:si>
  <x:si>
    <x:t xml:space="preserve">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t>
  </x:si>
  <x:si>
    <x:t xml:space="preserve">PMC5007409</x:t>
  </x:si>
  <x:si>
    <x:t xml:space="preserve">Stent-Assisted Coil Embolization of Vertebrobasilar Dissecting Aneurysms: Procedural Outcomes and Factors for Recanalization</x:t>
  </x:si>
  <x:si>
    <x:t xml:space="preserve">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t>
  </x:si>
  <x:si>
    <x:t xml:space="preserve">10.3348/kjr.2016.17.5.801</x:t>
  </x:si>
  <x:si>
    <x:t xml:space="preserve">https://pmc.ncbi.nlm.nih.gov/articles/PMC5007409/</x:t>
  </x:si>
  <x:si>
    <x:t xml:space="preserve">http://creativecommons.org/licenses/by-nc/3.0/</x:t>
  </x:si>
  <x:si>
    <x:t xml:space="preserve">5F7B9C7EE6800A4235A04E84E0E66FF20C880F9970A58539D16B008E5C49D188</x:t>
  </x:si>
  <x:si>
    <x:t xml:space="preserve">NCBI PMC OA BioC JSON; PMC5007409; section=ABSTRACT; passage_index=2, offset=135; exact raw/normalized evidence passage; URL=https://www.ncbi.nlm.nih.gov/research/bionlp/RESTful/pmcoa.cgi/PMC5007409/unicode</x:t>
  </x:si>
  <x:si>
    <x:t xml:space="preserve">PMC-OA-V2-04</x:t>
  </x:si>
  <x:si>
    <x:t xml:space="preserve">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t>
  </x:si>
  <x:si>
    <x:t xml:space="preserve">Patients managed without endovascular treatment were excluded because the study was designed to evaluate and compare endovascular treatment strategies ([CITED:PMC10850450]).</x:t>
  </x:si>
  <x:si>
    <x:t xml:space="preserve">PMC10850450</x:t>
  </x:si>
  <x:si>
    <x:t xml:space="preserve">Emerging Concept of Intracranial Arterial Diseases: The Role of High Resolution Vessel Wall MRI</x:t>
  </x:si>
  <x:si>
    <x:t xml:space="preserve">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t>
  </x:si>
  <x:si>
    <x:t xml:space="preserve">10.5853/jos.2023.02481</x:t>
  </x:si>
  <x:si>
    <x:t xml:space="preserve">https://pmc.ncbi.nlm.nih.gov/articles/PMC10850450/</x:t>
  </x:si>
  <x:si>
    <x:t xml:space="preserve">9B1D983A7A23A645D10E51D25705BCBFC1AF0DDD0175CB2E2E5C6E051A36970E</x:t>
  </x:si>
  <x:si>
    <x:t xml:space="preserve">NCBI PMC OA BioC JSON; PMC10850450; section=ABSTRACT; passage_index=1, offset=96; exact raw/normalized evidence passage; URL=https://www.ncbi.nlm.nih.gov/research/bionlp/RESTful/pmcoa.cgi/PMC10850450/unicode</x:t>
  </x:si>
  <x:si>
    <x:t xml:space="preserve">PMC-OA-V2-05</x:t>
  </x:si>
  <x:si>
    <x:t xml:space="preserve">PMC13626993</x:t>
  </x:si>
  <x:si>
    <x:t xml:space="preserve">Case Report: Triple-negative metaplastic breast carcinoma with primary resistance to neoadjuvant chemoimmunotherapy, refractory tumor necrosis-related fever, and rapid postoperative disease progression</x:t>
  </x:si>
  <x:si>
    <x:t xml:space="preserve">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t>
  </x:si>
  <x:si>
    <x:t xml:space="preserve">In addition, its response to standard chemotherapy is generally poorer than that of conventional TNBC ([CITED:PMC11309924]–[OTHER_CITATION]).</x:t>
  </x:si>
  <x:si>
    <x:t xml:space="preserve">10.3389/fonc.2026.1943838</x:t>
  </x:si>
  <x:si>
    <x:t xml:space="preserve">https://pmc.ncbi.nlm.nih.gov/articles/PMC13626993/</x:t>
  </x:si>
  <x:si>
    <x:t xml:space="preserve">19F779CB197E953D2FE4292E7926669ADBDC1B61FBEAB6A3DD703F82EAD1E7A1</x:t>
  </x:si>
  <x:si>
    <x:t xml:space="preserve">PMC11309924</x:t>
  </x:si>
  <x:si>
    <x:t xml:space="preserve">A comprehensive overview of metaplastic breast cancer: Features and treatments</x:t>
  </x:si>
  <x:si>
    <x:t xml:space="preserve">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t>
  </x:si>
  <x:si>
    <x:t xml:space="preserve">10.1111/cas.16208</x:t>
  </x:si>
  <x:si>
    <x:t xml:space="preserve">https://pmc.ncbi.nlm.nih.gov/articles/PMC11309924/</x:t>
  </x:si>
  <x:si>
    <x:t xml:space="preserve">https://creativecommons.org/licenses/by-nc-nd/4.0/</x:t>
  </x:si>
  <x:si>
    <x:t xml:space="preserve">F05BAB6AE59FCB83879D3252F09BFD99128965BB38E674984F9F220EBA061A17</x:t>
  </x:si>
  <x:si>
    <x:t xml:space="preserve">NCBI PMC OA BioC JSON; PMC11309924; section=ABSTRACT; passage_index=2, offset=88; exact raw/normalized evidence passage; URL=https://www.ncbi.nlm.nih.gov/research/bionlp/RESTful/pmcoa.cgi/PMC11309924/unicode</x:t>
  </x:si>
  <x:si>
    <x:t xml:space="preserve">PMC-OA-V2-06</x:t>
  </x:si>
  <x:si>
    <x:t xml:space="preserve">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t>
  </x:si>
  <x:si>
    <x:t xml:space="preserve">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t>
  </x:si>
  <x:si>
    <x:t xml:space="preserve">PMC12491465</x:t>
  </x:si>
  <x:si>
    <x:t xml:space="preserve">Predictors of response to neoadjuvant chemo-immunotherapy in metaplastic triple-negative breast cancer</x:t>
  </x:si>
  <x:si>
    <x:t xml:space="preserve">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t>
  </x:si>
  <x:si>
    <x:t xml:space="preserve">10.1038/s41523-025-00816-w</x:t>
  </x:si>
  <x:si>
    <x:t xml:space="preserve">https://pmc.ncbi.nlm.nih.gov/articles/PMC12491465/</x:t>
  </x:si>
  <x:si>
    <x:t xml:space="preserve">3AF14372E644E6AC0FBB5F5E31F184E621E57D5DA3AE4BCA3F959BC4907BFF4F</x:t>
  </x:si>
  <x:si>
    <x:t xml:space="preserve">NCBI PMC OA BioC JSON; PMC12491465; section=ABSTRACT; passage_index=1, offset=103; exact raw/normalized evidence passage; URL=https://www.ncbi.nlm.nih.gov/research/bionlp/RESTful/pmcoa.cgi/PMC12491465/unicode</x:t>
  </x:si>
  <x:si>
    <x:t xml:space="preserve">PMC-OA-V2-07</x:t>
  </x:si>
  <x:si>
    <x:t xml:space="preserve">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t>
  </x:si>
  <x:si>
    <x:t xml:space="preserve">Its underlying mechanisms are thought to involve tumor necrosis, immune-cell infiltration, and the release of endogenous pyrogenic mediators such as interleukin-1, interleukin-6, and tumor necrosis factor-α ([CITED:PMC6709302], [OTHER_CITATION]).</x:t>
  </x:si>
  <x:si>
    <x:t xml:space="preserve">PMC6709302</x:t>
  </x:si>
  <x:si>
    <x:t xml:space="preserve">Naproxen for the treatment of neoplastic fever</x:t>
  </x:si>
  <x:si>
    <x:t xml:space="preserve">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t>
  </x:si>
  <x:si>
    <x:t xml:space="preserve">10.1097/MD.0000000000015840</x:t>
  </x:si>
  <x:si>
    <x:t xml:space="preserve">https://pmc.ncbi.nlm.nih.gov/articles/PMC6709302/</x:t>
  </x:si>
  <x:si>
    <x:t xml:space="preserve">http://creativecommons.org/licenses/by-nc/4.0</x:t>
  </x:si>
  <x:si>
    <x:t xml:space="preserve">3224042ADA327689A9E94BEFC3A4A9D72DC2641C16640C51742869013113759F</x:t>
  </x:si>
  <x:si>
    <x:t xml:space="preserve">NCBI PMC OA BioC JSON; PMC6709302; section=ABSTRACT; passage_index=3, offset=68; exact raw/normalized evidence passage; URL=https://www.ncbi.nlm.nih.gov/research/bionlp/RESTful/pmcoa.cgi/PMC6709302/unicode</x:t>
  </x:si>
  <x:si>
    <x:t xml:space="preserve">PMC-OA-V2-08</x:t>
  </x:si>
  <x:si>
    <x:t xml:space="preserve">PMC-OA-V2-09</x:t>
  </x:si>
  <x:si>
    <x:t xml:space="preserve">PMC13626999</x:t>
  </x:si>
  <x:si>
    <x:t xml:space="preserve">Consumer choice and preference heterogeneity for liquid milk attributes in Sri Lanka: evidence from a choice experiment</x:t>
  </x:si>
  <x:si>
    <x:t xml:space="preserve">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</x:si>
  <x:si>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The COVID-19 pandemic, followed by a severe economic crisis, has negatively affected the nutritional status of people in Sri Lanka ([CITED:PMC11984007]).</x:t>
  </x:si>
  <x:si>
    <x:t xml:space="preserve">10.3389/fnut.2026.1931191</x:t>
  </x:si>
  <x:si>
    <x:t xml:space="preserve">https://pmc.ncbi.nlm.nih.gov/articles/PMC13626999/</x:t>
  </x:si>
  <x:si>
    <x:t xml:space="preserve">E172465602D150C2CF0035AD2BD9EC7D6B05CA810285E157E39587C2CFF256D9</x:t>
  </x:si>
  <x:si>
    <x:t xml:space="preserve">PMC11984007</x:t>
  </x:si>
  <x:si>
    <x:t xml:space="preserve">Dietary intake and micronutrient adequacy among adults engaged in agriculture in rural Sri Lanka: findings from a cross-sectional baseline survey</x:t>
  </x:si>
  <x:si>
    <x:t xml:space="preserve">To characterise food group consumption, assess the contribution of food groups to energy and micronutrient intake, and estimate usual nutrient intake among adults in rural Sri Lanka.</x:t>
  </x:si>
  <x:si>
    <x:t xml:space="preserve">10.1017/S1368980025000072</x:t>
  </x:si>
  <x:si>
    <x:t xml:space="preserve">https://pmc.ncbi.nlm.nih.gov/articles/PMC11984007/</x:t>
  </x:si>
  <x:si>
    <x:t xml:space="preserve">02088182D21EF32005CD48721432372EA163EC933A4F192BD96816F8170224BC</x:t>
  </x:si>
  <x:si>
    <x:t xml:space="preserve">NCBI PMC OA BioC JSON; PMC11984007; section=ABSTRACT; passage_index=2, offset=157; exact raw/normalized evidence passage; URL=https://www.ncbi.nlm.nih.gov/research/bionlp/RESTful/pmcoa.cgi/PMC11984007/unicode</x:t>
  </x:si>
  <x:si>
    <x:t xml:space="preserve">PMC-OA-V2-10</x:t>
  </x:si>
  <x:si>
    <x:t xml:space="preserve">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</x:si>
  <x:si>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([CITED:PMC7696452]), micronutrient malnutrition poses a serious threat to public health in Sri Lanka.</x:t>
  </x:si>
  <x:si>
    <x:t xml:space="preserve">PMC7696452</x:t>
  </x:si>
  <x:si>
    <x:t xml:space="preserve">Understanding Dietary Diversity, Dietary Practices and Changes in Food Patterns in Marginalised Societies in Sri Lanka</x:t>
  </x:si>
  <x:si>
    <x:t xml:space="preserve">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t>
  </x:si>
  <x:si>
    <x:t xml:space="preserve">10.3390/foods9111659</x:t>
  </x:si>
  <x:si>
    <x:t xml:space="preserve">https://pmc.ncbi.nlm.nih.gov/articles/PMC7696452/</x:t>
  </x:si>
  <x:si>
    <x:t xml:space="preserve">86362B03404A617A45191ED3CC8667D7573FABDD3CA1EBA95DA2BCF7D5421ACE</x:t>
  </x:si>
  <x:si>
    <x:t xml:space="preserve">NCBI PMC OA BioC JSON; PMC7696452; section=ABSTRACT; passage_index=1, offset=119; exact raw/normalized evidence passage; URL=https://www.ncbi.nlm.nih.gov/research/bionlp/RESTful/pmcoa.cgi/PMC7696452/unicode</x:t>
  </x:si>
  <x:si>
    <x:t xml:space="preserve">PMC-OA-V2-11</x:t>
  </x:si>
  <x:si>
    <x:t xml:space="preserve">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t>
  </x:si>
  <x:si>
    <x:t xml:space="preserve">Milk provides essential nutrients ([CITED:PMC8793832]) and plays a vital role in supporting growth, health, and overall nutritional wellbeing ([OTHER_CITATION]).</x:t>
  </x:si>
  <x:si>
    <x:t xml:space="preserve">PMC8793832</x:t>
  </x:si>
  <x:si>
    <x:t xml:space="preserve">Modeling the Contribution of Milk to Global Nutrition</x:t>
  </x:si>
  <x:si>
    <x:t xml:space="preserve">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t>
  </x:si>
  <x:si>
    <x:t xml:space="preserve">10.3389/fnut.2021.716100</x:t>
  </x:si>
  <x:si>
    <x:t xml:space="preserve">https://pmc.ncbi.nlm.nih.gov/articles/PMC8793832/</x:t>
  </x:si>
  <x:si>
    <x:t xml:space="preserve">258F4875A40BC81DB5857056953F6246BF9162533993E7F50B93447314D14429</x:t>
  </x:si>
  <x:si>
    <x:t xml:space="preserve">NCBI PMC OA BioC JSON; PMC8793832; section=ABSTRACT; passage_index=1, offset=54; exact raw/normalized evidence passage; URL=https://www.ncbi.nlm.nih.gov/research/bionlp/RESTful/pmcoa.cgi/PMC8793832/unicode</x:t>
  </x:si>
  <x:si>
    <x:t xml:space="preserve">PMC-OA-V2-12</x:t>
  </x:si>
  <x:si>
    <x:t xml:space="preserve">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t>
  </x:si>
  <x:si>
    <x:t xml:space="preserve">Among the milk attributes, consumers’ preferences for milk fat content have been widely investigated by several researchers ([CITED:PMC6982324]–[OTHER_CITATION]).</x:t>
  </x:si>
  <x:si>
    <x:t xml:space="preserve">PMC6982324</x:t>
  </x:si>
  <x:si>
    <x:t xml:space="preserve">Consumers’ Willingness to Pay for Imported Milk: Based on Shanghai, China</x:t>
  </x:si>
  <x:si>
    <x:t xml:space="preserve">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t>
  </x:si>
  <x:si>
    <x:t xml:space="preserve">10.3390/ijerph17010244</x:t>
  </x:si>
  <x:si>
    <x:t xml:space="preserve">https://pmc.ncbi.nlm.nih.gov/articles/PMC6982324/</x:t>
  </x:si>
  <x:si>
    <x:t xml:space="preserve">02BFF1BDD73534318E0FBC35D136525253C15F8EF1AEE51702AF01FED1BA5DD8</x:t>
  </x:si>
  <x:si>
    <x:t xml:space="preserve">NCBI PMC OA BioC JSON; PMC6982324; section=ABSTRACT; passage_index=1, offset=76; exact raw/normalized evidence passage; URL=https://www.ncbi.nlm.nih.gov/research/bionlp/RESTful/pmcoa.cgi/PMC6982324/unicode</x:t>
  </x:si>
  <x:si>
    <x:t xml:space="preserve">PMC-OA-V2-13</x:t>
  </x:si>
  <x:si>
    <x:t xml:space="preserve">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t>
  </x:si>
  <x:si>
    <x:t xml:space="preserve">([CITED:PMC6982324]) found that Chinese consumers preferred milk fortified with a combination of iron (Fe), calcium (Ca), zinc (Zn), and vitamin D over milk containing only vitamins A and D.</x:t>
  </x:si>
  <x:si>
    <x:t xml:space="preserve">PMC-OA-V2-14</x:t>
  </x:si>
  <x:si>
    <x:t xml:space="preserve">PMC13626989</x:t>
  </x:si>
  <x:si>
    <x:t xml:space="preserve">Effects of caffeine supplementation on post-exercise recovery: a systematic review and three-level meta-analysis of perceptual, functional performance, physiological, and sleep outcomes</x:t>
  </x:si>
  <x:si>
    <x:t xml:space="preserve">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t>
  </x:si>
  <x:si>
    <x:t xml:space="preserve">This is particularly important for athletes facing short recovery intervals or repeated competition demands ([OTHER_CITATION]; [CITED:PMC12297025]).</x:t>
  </x:si>
  <x:si>
    <x:t xml:space="preserve">10.3389/fphys.2026.1960237</x:t>
  </x:si>
  <x:si>
    <x:t xml:space="preserve">https://pmc.ncbi.nlm.nih.gov/articles/PMC13626989/</x:t>
  </x:si>
  <x:si>
    <x:t xml:space="preserve">5E871A8A6A549C1C49443CDA88D089134051C79F73D94CAC1B07F7999D79E25F</x:t>
  </x:si>
  <x:si>
    <x:t xml:space="preserve">PMC12297025</x:t>
  </x:si>
  <x:si>
    <x:t xml:space="preserve">Nutritional Strategies to Improve Post-exercise Recovery and Subsequent Exercise Performance: A Narrative Review</x:t>
  </x:si>
  <x:si>
    <x:t xml:space="preserve">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t>
  </x:si>
  <x:si>
    <x:t xml:space="preserve">10.1007/s40279-025-02213-6</x:t>
  </x:si>
  <x:si>
    <x:t xml:space="preserve">https://pmc.ncbi.nlm.nih.gov/articles/PMC12297025/</x:t>
  </x:si>
  <x:si>
    <x:t xml:space="preserve">5FD3C8C7F06D6D14BD2C49669280BEBA191003E7ED69DC6E19D3758CA173A565</x:t>
  </x:si>
  <x:si>
    <x:t xml:space="preserve">NCBI PMC OA BioC JSON; PMC12297025; section=ABSTRACT; passage_index=1, offset=113; exact raw/normalized evidence passage; URL=https://www.ncbi.nlm.nih.gov/research/bionlp/RESTful/pmcoa.cgi/PMC12297025/unicode</x:t>
  </x:si>
  <x:si>
    <x:t xml:space="preserve">PMC-OA-V2-15</x:t>
  </x:si>
  <x:si>
    <x:t xml:space="preserve">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t>
  </x:si>
  <x:si>
    <x:t xml:space="preserve">Caffeine is one of the most widely used nutritional supplements among physically active individuals and is well established as an acute ergogenic aid, with 3–6 mg/kg body mass being the most commonly investigated effective dose range ([CITED:PMC5839013]; [OTHER_CITATION]).</x:t>
  </x:si>
  <x:si>
    <x:t xml:space="preserve">PMC5839013</x:t>
  </x:si>
  <x:si>
    <x:t xml:space="preserve">Effects of caffeine intake on muscle strength and power: a systematic review and meta-analysis</x:t>
  </x:si>
  <x:si>
    <x:t xml:space="preserve">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t>
  </x:si>
  <x:si>
    <x:t xml:space="preserve">10.1186/s12970-018-0216-0</x:t>
  </x:si>
  <x:si>
    <x:t xml:space="preserve">https://pmc.ncbi.nlm.nih.gov/articles/PMC5839013/</x:t>
  </x:si>
  <x:si>
    <x:t xml:space="preserve">E15FEB3B9C1F214896A9C03EC34708809F3C157C9AACC721973DB4D296BC0BEE</x:t>
  </x:si>
  <x:si>
    <x:t xml:space="preserve">NCBI PMC OA BioC JSON; PMC5839013; section=ABSTRACT; passage_index=2, offset=106; exact raw/normalized evidence passage; URL=https://www.ncbi.nlm.nih.gov/research/bionlp/RESTful/pmcoa.cgi/PMC5839013/unicode</x:t>
  </x:si>
  <x:si>
    <x:t xml:space="preserve">PMC-OA-V2-16</x:t>
  </x:si>
  <x:si>
    <x:t xml:space="preserve">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t>
  </x:si>
  <x:si>
    <x:t xml:space="preserve">Caffeine is one of the most widely used nutritional supplements among physically active individuals and is well established as an acute ergogenic aid, with 3–6 mg/kg body mass being the most commonly investigated effective dose range ([OTHER_CITATION]; [CITED:PMC7777221]).</x:t>
  </x:si>
  <x:si>
    <x:t xml:space="preserve">PMC7777221</x:t>
  </x:si>
  <x:si>
    <x:t xml:space="preserve">International society of sports nutrition position stand: caffeine and exercise performance</x:t>
  </x:si>
  <x:si>
    <x:t xml:space="preserve">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t>
  </x:si>
  <x:si>
    <x:t xml:space="preserve">10.1186/s12970-020-00383-4</x:t>
  </x:si>
  <x:si>
    <x:t xml:space="preserve">https://pmc.ncbi.nlm.nih.gov/articles/PMC7777221/</x:t>
  </x:si>
  <x:si>
    <x:t xml:space="preserve">21248D3DC1A802C26BD8409E281DE36313F756E9066F5995390A3BDDB668759D</x:t>
  </x:si>
  <x:si>
    <x:t xml:space="preserve">NCBI PMC OA BioC JSON; PMC7777221; section=ABSTRACT; passage_index=1, offset=92; passage_index=12, offset=2572; normalized evidence span (source punctuation/spacing differs); URL=https://www.ncbi.nlm.nih.gov/research/bionlp/RESTful/pmcoa.cgi/PMC7777221/unicode</x:t>
  </x:si>
  <x:si>
    <x:t xml:space="preserve">PMC-OA-V2-17</x:t>
  </x:si>
  <x:si>
    <x:t xml:space="preserve">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t>
  </x:si>
  <x:si>
    <x:t xml:space="preserve">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t>
  </x:si>
  <x:si>
    <x:t xml:space="preserve">PMC9099525</x:t>
  </x:si>
  <x:si>
    <x:t xml:space="preserve">Effect of Caffeine Ingestion on Indirect Markers of Exercise-Induced Muscle Damage: A Systematic Review of Human Trials</x:t>
  </x:si>
  <x:si>
    <x:t xml:space="preserve">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t>
  </x:si>
  <x:si>
    <x:t xml:space="preserve">10.3390/nu14091769</x:t>
  </x:si>
  <x:si>
    <x:t xml:space="preserve">https://pmc.ncbi.nlm.nih.gov/articles/PMC9099525/</x:t>
  </x:si>
  <x:si>
    <x:t xml:space="preserve">0D9956900CF18BD2E3A5989ADEDCB64DF8CA6072F835E69E1CC76C498841B489</x:t>
  </x:si>
  <x:si>
    <x:t xml:space="preserve">NCBI PMC OA BioC JSON; PMC9099525; section=ABSTRACT; passage_index=1, offset=120; exact raw/normalized evidence passage; URL=https://www.ncbi.nlm.nih.gov/research/bionlp/RESTful/pmcoa.cgi/PMC9099525/unicode</x:t>
  </x:si>
  <x:si>
    <x:t xml:space="preserve">PMC-OA-V2-18</x:t>
  </x:si>
  <x:si>
    <x:t xml:space="preserve">PMC-OA-V2-19</x:t>
  </x:si>
  <x:si>
    <x:t xml:space="preserve">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t>
  </x:si>
  <x:si>
    <x:t xml:space="preserve">They also suggest that perceptual improvement, maintenance of functional performance, and physiological tissue repair may represent distinct recovery processes ([OTHER_CITATION]; [OTHER_CITATION]; [OTHER_CITATION]; [CITED:PMC6837311]).</x:t>
  </x:si>
  <x:si>
    <x:t xml:space="preserve">PMC6837311</x:t>
  </x:si>
  <x:si>
    <x:t xml:space="preserve">Effect of caffeine on neuromuscular function following eccentric-based exercise</x:t>
  </x:si>
  <x:si>
    <x:t xml:space="preserve">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t>
  </x:si>
  <x:si>
    <x:t xml:space="preserve">10.1371/journal.pone.0224794</x:t>
  </x:si>
  <x:si>
    <x:t xml:space="preserve">https://pmc.ncbi.nlm.nih.gov/articles/PMC6837311/</x:t>
  </x:si>
  <x:si>
    <x:t xml:space="preserve">http://creativecommons.org/licenses/by/4.0/</x:t>
  </x:si>
  <x:si>
    <x:t xml:space="preserve">D8A58212983DA584C443227CDA58E433C5641F0D2AC81CBFF310AED1AA85D25D</x:t>
  </x:si>
  <x:si>
    <x:t xml:space="preserve">NCBI PMC OA BioC JSON; PMC6837311; section=ABSTRACT; passage_index=1, offset=80; exact raw/normalized evidence passage; URL=https://www.ncbi.nlm.nih.gov/research/bionlp/RESTful/pmcoa.cgi/PMC6837311/unicode</x:t>
  </x:si>
  <x:si>
    <x:t xml:space="preserve">PMC-OA-V2-20</x:t>
  </x:si>
  <x:si>
    <x:t xml:space="preserve">PMC13626992</x:t>
  </x:si>
  <x:si>
    <x:t xml:space="preserve">Cleavage-stage stratification reveals the clinical and developmental potential of 0PN embryos compared with 2PN embryos in IVF</x:t>
  </x:si>
  <x:si>
    <x:t xml:space="preserve">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t>
  </x:si>
  <x:si>
    <x:t xml:space="preserve">By comparison, embryos formed by unusual fertilization forms, such as those without visible pronuclei (0PN), were historically considered to possess unknown developmental potential and are commonly not included in transfer ([CITED:PMC11177495], [OTHER_CITATION]).</x:t>
  </x:si>
  <x:si>
    <x:t xml:space="preserve">10.3389/fendo.2026.1856070</x:t>
  </x:si>
  <x:si>
    <x:t xml:space="preserve">https://pmc.ncbi.nlm.nih.gov/articles/PMC13626992/</x:t>
  </x:si>
  <x:si>
    <x:t xml:space="preserve">6C22F592A93C88A136F5002076D6F5CE8728E4C1EA295F4DE3B5B7143E2D184A</x:t>
  </x:si>
  <x:si>
    <x:t xml:space="preserve">PMC11177495</x:t>
  </x:si>
  <x:si>
    <x:t xml:space="preserve">Emerging trends in sperm selection: enhancing success rates in assisted reproduction</x:t>
  </x:si>
  <x:si>
    <x:t xml:space="preserve">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t>
  </x:si>
  <x:si>
    <x:t xml:space="preserve">10.1186/s12958-024-01239-1</x:t>
  </x:si>
  <x:si>
    <x:t xml:space="preserve">https://pmc.ncbi.nlm.nih.gov/articles/PMC11177495/</x:t>
  </x:si>
  <x:si>
    <x:t xml:space="preserve">297804172E527105EE940E02A952E49FCBAA7821F97C7A80CF577F9B88D3497A</x:t>
  </x:si>
  <x:si>
    <x:t xml:space="preserve">NCBI PMC OA BioC JSON; PMC11177495; section=ABSTRACT; passage_index=1, offset=85; exact raw/normalized evidence passage; URL=https://www.ncbi.nlm.nih.gov/research/bionlp/RESTful/pmcoa.cgi/PMC11177495/unicode</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</x:si>
</x:sst>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4"/>
      <x:color rgb="FF000000"/>
      <x:name val="Aptos"/>
    </x:font>
    <x:font>
      <x:i/>
      <x:sz val="10"/>
      <x:color rgb="FF4B5563"/>
      <x:name val="Aptos"/>
    </x:font>
    <x:font>
      <x:b/>
      <x:sz val="9"/>
      <x:color rgb="FFFFFFFF"/>
      <x:name val="Aptos"/>
    </x:font>
    <x:font>
      <x:sz val="9"/>
      <x:color rgb="FF1F2937"/>
      <x:name val="Aptos"/>
    </x:font>
    <x:font>
      <x:sz val="9"/>
      <x:color rgb="FF1F2937"/>
      <x:name val="宋体"/>
    </x:font>
    <x:font>
      <x:b/>
      <x:sz val="10"/>
      <x:color rgb="FF1F2937"/>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7F7F7"/>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9D9D9"/>
      </x:left>
      <x:right style="thin">
        <x:color rgb="FFD9D9D9"/>
      </x:right>
      <x:top style="thin">
        <x:color rgb="FFD9D9D9"/>
      </x:top>
      <x:bottom style="thin">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5" applyNumberFormat="0" applyAlignment="0" applyProtection="0">
      <x:alignment vertical="center"/>
    </x:xf>
    <x:xf numFmtId="0" fontId="18" fillId="4" borderId="6" applyNumberFormat="0" applyAlignment="0" applyProtection="0">
      <x:alignment vertical="center"/>
    </x:xf>
    <x:xf numFmtId="0" fontId="19" fillId="4" borderId="5" applyNumberFormat="0" applyAlignment="0" applyProtection="0">
      <x:alignment vertical="center"/>
    </x:xf>
    <x:xf numFmtId="0" fontId="20" fillId="9"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0" borderId="0" applyNumberFormat="0" applyBorder="0" applyAlignment="0" applyProtection="0">
      <x:alignment vertical="center"/>
    </x:xf>
    <x:xf numFmtId="0" fontId="24" fillId="11" borderId="0" applyNumberFormat="0" applyBorder="0" applyAlignment="0" applyProtection="0">
      <x:alignment vertical="center"/>
    </x:xf>
    <x:xf numFmtId="0" fontId="25" fillId="12" borderId="0" applyNumberFormat="0" applyBorder="0" applyAlignment="0" applyProtection="0">
      <x:alignment vertical="center"/>
    </x:xf>
    <x:xf numFmtId="0" fontId="26" fillId="13" borderId="0" applyNumberFormat="0" applyBorder="0" applyAlignment="0" applyProtection="0">
      <x:alignment vertical="center"/>
    </x:xf>
    <x:xf numFmtId="0" fontId="27" fillId="14" borderId="0" applyNumberFormat="0" applyBorder="0" applyAlignment="0" applyProtection="0">
      <x:alignment vertical="center"/>
    </x:xf>
    <x:xf numFmtId="0" fontId="27"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27"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7" fillId="22" borderId="0" applyNumberFormat="0" applyBorder="0" applyAlignment="0" applyProtection="0">
      <x:alignment vertical="center"/>
    </x:xf>
    <x:xf numFmtId="0" fontId="27"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7" fillId="26" borderId="0" applyNumberFormat="0" applyBorder="0" applyAlignment="0" applyProtection="0">
      <x:alignment vertical="center"/>
    </x:xf>
    <x:xf numFmtId="0" fontId="27"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26" fillId="36" borderId="0" applyNumberFormat="0" applyBorder="0" applyAlignment="0" applyProtection="0">
      <x:alignment vertical="center"/>
    </x:xf>
    <x:xf numFmtId="0" fontId="0" fillId="0" borderId="0"/>
  </x:cellStyleXfs>
  <x:cellXfs count="14">
    <x:xf numFmtId="0" fontId="0" fillId="0" borderId="0" xfId="49"/>
    <x:xf numFmtId="0" fontId="1" fillId="0" borderId="0" xfId="49" applyFont="1"/>
    <x:xf numFmtId="0" fontId="2" fillId="0" borderId="0" xfId="49" applyFont="1" applyAlignment="1">
      <x:alignment wrapText="1"/>
    </x:xf>
    <x:xf numFmtId="0" fontId="3" fillId="2" borderId="1" xfId="49" applyFont="1" applyFill="1" applyBorder="1" applyAlignment="1">
      <x:alignment horizontal="center" vertical="center" wrapText="1"/>
    </x:xf>
    <x:xf numFmtId="0" fontId="4" fillId="0" borderId="1" xfId="49" applyFont="1" applyBorder="1" applyAlignment="1">
      <x:alignment vertical="top" wrapText="1"/>
    </x:xf>
    <x:xf numFmtId="0" fontId="4" fillId="3" borderId="1" xfId="49" applyFont="1" applyFill="1" applyBorder="1" applyAlignment="1">
      <x:alignment vertical="top" wrapText="1"/>
    </x:xf>
    <x:xf numFmtId="0" fontId="4" fillId="4" borderId="1" xfId="49" applyFont="1" applyFill="1" applyBorder="1" applyAlignment="1">
      <x:alignment vertical="top" wrapText="1"/>
    </x:xf>
    <x:xf numFmtId="0" fontId="4" fillId="5" borderId="1" xfId="49" applyFont="1" applyFill="1" applyBorder="1" applyAlignment="1">
      <x:alignment vertical="top" wrapText="1"/>
    </x:xf>
    <x:xf numFmtId="0" fontId="5" fillId="3" borderId="1" xfId="49" applyFont="1" applyFill="1" applyBorder="1" applyAlignment="1">
      <x:alignment vertical="top" wrapText="1"/>
    </x:xf>
    <x:xf numFmtId="0" fontId="1" fillId="0" borderId="0" xfId="49" applyFont="1" applyAlignment="1">
      <x:alignment vertical="center"/>
    </x:xf>
    <x:xf numFmtId="0" fontId="0" fillId="0" borderId="0" xfId="49" applyAlignment="1">
      <x:alignment vertical="center"/>
    </x:xf>
    <x:xf numFmtId="0" fontId="6" fillId="5" borderId="1" xfId="49" applyFont="1" applyFill="1" applyBorder="1" applyAlignment="1">
      <x:alignment vertical="center"/>
    </x:xf>
    <x:xf numFmtId="0" fontId="7" fillId="0" borderId="1" xfId="49" applyFont="1" applyBorder="1" applyAlignment="1">
      <x:alignment vertical="center" wrapText="1"/>
    </x:xf>
    <x:xf numFmtId="0" fontId="6" fillId="6" borderId="1" xfId="49" applyFont="1" applyFill="1" applyBorder="1" applyAlignment="1">
      <x:alignmen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FFF2CC"/>
        </x:patternFill>
      </x:fill>
    </x:dxf>
    <x:dxf>
      <x:font>
        <x:color rgb="FF7F6000"/>
      </x:font>
      <x:fill>
        <x:patternFill>
          <x:bgColor rgb="FFFFF2CC"/>
        </x:patternFill>
      </x:fill>
    </x:dxf>
    <x:dxf>
      <x:font>
        <x:color rgb="FF375623"/>
      </x:font>
      <x:fill>
        <x:patternFill>
          <x:bgColor rgb="FFE2F0D9"/>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bb274bd7a7e4d59" /><Relationship Type="http://schemas.openxmlformats.org/officeDocument/2006/relationships/theme" Target="/xl/theme/theme1.xml" Id="R8df84ca179674877" /><Relationship Type="http://schemas.openxmlformats.org/officeDocument/2006/relationships/sharedStrings" Target="/xl/sharedStrings.xml" Id="Rd8c2ba94f9d44e9d" /><Relationship Type="http://schemas.openxmlformats.org/officeDocument/2006/relationships/worksheet" Target="/xl/worksheets/sheet1.xml" Id="R15db2d9c42f14123" /><Relationship Type="http://schemas.openxmlformats.org/officeDocument/2006/relationships/worksheet" Target="/xl/worksheets/sheet2.xml" Id="Rd8ec6fd2fcb54c36" /></Relationships>
</file>

<file path=xl/tables/table1.xml><?xml version="1.0" encoding="utf-8"?>
<x:table xmlns:x="http://schemas.openxmlformats.org/spreadsheetml/2006/main" id="1" name="PmcBlindAnnotationTable" displayName="PmcBlindAnnotationTable" ref="A4:AJ24" totalsRowShown="0">
  <x:tableColumns count="36">
    <x:tableColumn id="1" name="candidate_id"/>
    <x:tableColumn id="2" name="natural_or_constructed"/>
    <x:tableColumn id="3" name="candidate_status"/>
    <x:tableColumn id="4" name="citing_pmcid"/>
    <x:tableColumn id="5" name="citing_title"/>
    <x:tableColumn id="6" name="citing_context_marked"/>
    <x:tableColumn id="7" name="citing_sentence_marked"/>
    <x:tableColumn id="8" name="citing_xml_paragraph"/>
    <x:tableColumn id="9" name="citing_doi"/>
    <x:tableColumn id="10" name="citing_url"/>
    <x:tableColumn id="11" name="citing_license"/>
    <x:tableColumn id="12" name="citing_xml_sha256"/>
    <x:tableColumn id="13" name="cited_pmcid"/>
    <x:tableColumn id="14" name="cited_title"/>
    <x:tableColumn id="15" name="cited_evidence"/>
    <x:tableColumn id="16" name="cited_xml_paragraph"/>
    <x:tableColumn id="17" name="cited_doi"/>
    <x:tableColumn id="18" name="cited_url"/>
    <x:tableColumn id="19" name="cited_license"/>
    <x:tableColumn id="20" name="cited_xml_sha256"/>
    <x:tableColumn id="21" name="evidence_locator"/>
    <x:tableColumn id="22" name="overlap_check"/>
    <x:tableColumn id="23" name="annotator_1_id"/>
    <x:tableColumn id="24" name="annotator_1_label"/>
    <x:tableColumn id="25" name="annotator_1_evidence_status"/>
    <x:tableColumn id="26" name="annotator_1_evidence_locator"/>
    <x:tableColumn id="27" name="annotator_1_reason"/>
    <x:tableColumn id="28" name="annotator_2_id"/>
    <x:tableColumn id="29" name="annotator_2_label"/>
    <x:tableColumn id="30" name="annotator_2_evidence_status"/>
    <x:tableColumn id="31" name="annotator_2_evidence_locator"/>
    <x:tableColumn id="32" name="annotator_2_reason"/>
    <x:tableColumn id="33" name="project_label"/>
    <x:tableColumn id="34" name="adjudicated_label"/>
    <x:tableColumn id="35" name="adjudication_reason"/>
    <x:tableColumn id="36" name="retur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42651216c542db"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8" customWidth="1"/>
    <x:col min="2" max="2" width="92" customWidth="1"/>
  </x:cols>
  <x:sheetData>
    <x:row r="1" ht="18">
      <x:c r="A1" s="9" t="str">
        <x:v>PMC natural 候选盲标表 v1（李云独立复核副本）</x:v>
      </x:c>
    </x:row>
    <x:row r="2">
      <x:c r="A2" s="10"/>
      <x:c r="B2" s="10"/>
      <x:c r="C2" s="10"/>
      <x:c r="D2" s="10"/>
      <x:c r="E2" s="10"/>
      <x:c r="F2" s="10"/>
      <x:c r="G2" s="10"/>
      <x:c r="H2" s="10"/>
    </x:row>
    <x:row r="3" ht="15" customHeight="1">
      <x:c r="A3" s="11" t="s">
        <x:v>0</x:v>
      </x:c>
      <x:c r="B3" s="12" t="str">
        <x:v>供第二位标注者李云独立填写；本副本不保留第一位标注者的标签、理由或裁决字段。</x:v>
      </x:c>
      <x:c r="C3" s="10"/>
      <x:c r="D3" s="10"/>
      <x:c r="E3" s="10"/>
      <x:c r="F3" s="10"/>
      <x:c r="G3" s="10"/>
      <x:c r="H3" s="10"/>
    </x:row>
    <x:row r="4" ht="15" customHeight="1">
      <x:c r="A4" s="11" t="s">
        <x:v>1</x:v>
      </x:c>
      <x:c r="B4" s="12" t="s">
        <x:v>2</x:v>
      </x:c>
      <x:c r="C4" s="10"/>
      <x:c r="D4" s="10"/>
      <x:c r="E4" s="10"/>
      <x:c r="F4" s="10"/>
      <x:c r="G4" s="10"/>
      <x:c r="H4" s="10"/>
    </x:row>
    <x:row r="5" ht="15" customHeight="1">
      <x:c r="A5" s="11" t="s">
        <x:v>3</x:v>
      </x:c>
      <x:c r="B5" s="12" t="s">
        <x:v>4</x:v>
      </x:c>
      <x:c r="C5" s="10"/>
      <x:c r="D5" s="10"/>
      <x:c r="E5" s="10"/>
      <x:c r="F5" s="10"/>
      <x:c r="G5" s="10"/>
      <x:c r="H5" s="10"/>
    </x:row>
    <x:row r="6" ht="15" customHeight="1">
      <x:c r="A6" s="11" t="s">
        <x:v>5</x:v>
      </x:c>
      <x:c r="B6" s="12" t="str">
        <x:v>只填写 annotator_2_*；不要填写 annotator_1_*、project_label 或 adjudicated_*。</x:v>
      </x:c>
      <x:c r="C6" s="10"/>
      <x:c r="D6" s="10"/>
      <x:c r="E6" s="10"/>
      <x:c r="F6" s="10"/>
      <x:c r="G6" s="10"/>
      <x:c r="H6" s="10"/>
    </x:row>
    <x:row r="7" ht="15" customHeight="1">
      <x:c r="A7" s="11" t="s">
        <x:v>6</x:v>
      </x:c>
      <x:c r="B7" s="12" t="s">
        <x:v>7</x:v>
      </x:c>
      <x:c r="C7" s="10"/>
      <x:c r="D7" s="10"/>
      <x:c r="E7" s="10"/>
      <x:c r="F7" s="10"/>
      <x:c r="G7" s="10"/>
      <x:c r="H7" s="10"/>
    </x:row>
    <x:row r="8" ht="15" customHeight="1">
      <x:c r="A8" s="11" t="s">
        <x:v>8</x:v>
      </x:c>
      <x:c r="B8" s="12" t="s">
        <x:v>9</x:v>
      </x:c>
      <x:c r="C8" s="10"/>
      <x:c r="D8" s="10"/>
      <x:c r="E8" s="10"/>
      <x:c r="F8" s="10"/>
      <x:c r="G8" s="10"/>
      <x:c r="H8" s="10"/>
    </x:row>
    <x:row r="9" ht="15" customHeight="1">
      <x:c r="A9" s="11" t="s">
        <x:v>10</x:v>
      </x:c>
      <x:c r="B9" s="12" t="s">
        <x:v>11</x:v>
      </x:c>
      <x:c r="C9" s="10"/>
      <x:c r="D9" s="10"/>
      <x:c r="E9" s="10"/>
      <x:c r="F9" s="10"/>
      <x:c r="G9" s="10"/>
      <x:c r="H9" s="10"/>
    </x:row>
    <x:row r="10" ht="15" customHeight="1">
      <x:c r="A10" s="11" t="s">
        <x:v>12</x:v>
      </x:c>
      <x:c r="B10" s="12" t="s">
        <x:v>13</x:v>
      </x:c>
      <x:c r="C10" s="10"/>
      <x:c r="D10" s="10"/>
      <x:c r="E10" s="10"/>
      <x:c r="F10" s="10"/>
      <x:c r="G10" s="10"/>
      <x:c r="H10" s="10"/>
    </x:row>
    <x:row r="11" ht="15" customHeight="1">
      <x:c r="A11" s="10"/>
      <x:c r="B11" s="10"/>
      <x:c r="C11" s="10"/>
      <x:c r="D11" s="10"/>
      <x:c r="E11" s="10"/>
      <x:c r="F11" s="10"/>
      <x:c r="G11" s="10"/>
      <x:c r="H11" s="10"/>
    </x:row>
    <x:row r="12" ht="15" customHeight="1">
      <x:c r="A12" s="13" t="s">
        <x:v>14</x:v>
      </x:c>
      <x:c r="B12" s="12" t="s">
        <x:v>15</x:v>
      </x:c>
      <x:c r="C12" s="10"/>
      <x:c r="D12" s="10"/>
      <x:c r="E12" s="10"/>
      <x:c r="F12" s="10"/>
      <x:c r="G12" s="10"/>
      <x:c r="H12" s="10"/>
    </x:row>
    <x:row r="13" ht="15" customHeight="1">
      <x:c r="A13" s="13" t="s">
        <x:v>16</x:v>
      </x:c>
      <x:c r="B13" s="12" t="s">
        <x:v>17</x:v>
      </x:c>
      <x:c r="C13" s="10"/>
      <x:c r="D13" s="10"/>
      <x:c r="E13" s="10"/>
      <x:c r="F13" s="10"/>
      <x:c r="G13" s="10"/>
      <x:c r="H13" s="10"/>
    </x:row>
    <x:row r="14" ht="15" customHeight="1">
      <x:c r="A14" s="13" t="s">
        <x:v>18</x:v>
      </x:c>
      <x:c r="B14" s="12" t="s">
        <x:v>19</x:v>
      </x:c>
      <x:c r="C14" s="10"/>
      <x:c r="D14" s="10"/>
      <x:c r="E14" s="10"/>
      <x:c r="F14" s="10"/>
      <x:c r="G14" s="10"/>
      <x:c r="H14" s="10"/>
    </x:row>
    <x:row r="15" ht="15" customHeight="1">
      <x:c r="A15" s="13" t="s">
        <x:v>20</x:v>
      </x:c>
      <x:c r="B15" s="12" t="s">
        <x:v>21</x:v>
      </x:c>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ColWidth="9" defaultRowHeight="14.25"/>
  <x:cols>
    <x:col min="1" max="2" width="16" customWidth="1"/>
    <x:col min="3" max="3" width="19" customWidth="1"/>
    <x:col min="4" max="4" width="14" customWidth="1"/>
    <x:col min="5" max="5" width="34" customWidth="1"/>
    <x:col min="6" max="6" width="68" customWidth="1"/>
    <x:col min="7" max="7" width="54" customWidth="1"/>
    <x:col min="8" max="8" width="12" customWidth="1"/>
    <x:col min="9" max="9" width="22" customWidth="1"/>
    <x:col min="10" max="10" width="40" customWidth="1"/>
    <x:col min="11" max="11" width="28" customWidth="1"/>
    <x:col min="12" max="12" width="38" customWidth="1"/>
    <x:col min="13" max="13" width="14" customWidth="1"/>
    <x:col min="14" max="14" width="34" customWidth="1"/>
    <x:col min="15" max="15" width="68" customWidth="1"/>
    <x:col min="16" max="16" width="14" customWidth="1"/>
    <x:col min="17" max="17" width="22" customWidth="1"/>
    <x:col min="18" max="18" width="40" customWidth="1"/>
    <x:col min="19" max="19" width="28" customWidth="1"/>
    <x:col min="20" max="20" width="38" customWidth="1"/>
    <x:col min="21" max="21" width="34" customWidth="1"/>
    <x:col min="22" max="22" width="30" customWidth="1"/>
    <x:col min="23" max="24" width="18" customWidth="1"/>
    <x:col min="25" max="25" width="22" customWidth="1"/>
    <x:col min="26" max="26" width="34" customWidth="1"/>
    <x:col min="27" max="27" width="44" customWidth="1"/>
    <x:col min="28" max="29" width="18" customWidth="1"/>
    <x:col min="30" max="30" width="22" customWidth="1"/>
    <x:col min="31" max="31" width="34" customWidth="1"/>
    <x:col min="32" max="32" width="44" customWidth="1"/>
    <x:col min="33" max="34" width="18" customWidth="1"/>
    <x:col min="35" max="35" width="44" customWidth="1"/>
    <x:col min="36" max="36" width="14" customWidth="1"/>
  </x:cols>
  <x:sheetData>
    <x:row r="1" ht="18">
      <x:c r="A1" s="1" t="str">
        <x:v>PMC natural 候选盲标表（20 条，李云独立复核副本）</x:v>
      </x:c>
    </x:row>
    <x:row r="2">
      <x:c r="A2" s="2" t="str">
        <x:v>仅请李云填写 annotator_2_*；不要填写 annotator_1_*、project_label 或 adjudicated_*。</x:v>
      </x:c>
    </x:row>
    <x:row r="4" ht="34" customHeight="1">
      <x:c r="A4" s="3" t="s">
        <x:v>22</x:v>
      </x:c>
      <x:c r="B4" s="3" t="s">
        <x:v>23</x:v>
      </x:c>
      <x:c r="C4" s="3" t="s">
        <x:v>24</x:v>
      </x:c>
      <x:c r="D4" s="3" t="s">
        <x:v>25</x:v>
      </x:c>
      <x:c r="E4" s="3" t="s">
        <x:v>26</x:v>
      </x:c>
      <x:c r="F4" s="3" t="s">
        <x:v>27</x:v>
      </x:c>
      <x:c r="G4" s="3" t="s">
        <x:v>28</x:v>
      </x:c>
      <x:c r="H4" s="3" t="s">
        <x:v>29</x:v>
      </x:c>
      <x:c r="I4" s="3" t="s">
        <x:v>30</x:v>
      </x:c>
      <x:c r="J4" s="3" t="s">
        <x:v>31</x:v>
      </x:c>
      <x:c r="K4" s="3" t="s">
        <x:v>32</x:v>
      </x:c>
      <x:c r="L4" s="3" t="s">
        <x:v>33</x:v>
      </x:c>
      <x:c r="M4" s="3" t="s">
        <x:v>34</x:v>
      </x:c>
      <x:c r="N4" s="3" t="s">
        <x:v>35</x:v>
      </x:c>
      <x:c r="O4" s="3" t="s">
        <x:v>36</x:v>
      </x:c>
      <x:c r="P4" s="3" t="s">
        <x:v>37</x:v>
      </x:c>
      <x:c r="Q4" s="3" t="s">
        <x:v>38</x:v>
      </x:c>
      <x:c r="R4" s="3" t="s">
        <x:v>39</x:v>
      </x:c>
      <x:c r="S4" s="3" t="s">
        <x:v>40</x:v>
      </x:c>
      <x:c r="T4" s="3" t="s">
        <x:v>41</x:v>
      </x:c>
      <x:c r="U4" s="3" t="s">
        <x:v>42</x:v>
      </x:c>
      <x:c r="V4" s="3" t="s">
        <x:v>43</x:v>
      </x:c>
      <x:c r="W4" s="3" t="s">
        <x:v>44</x:v>
      </x:c>
      <x:c r="X4" s="3" t="s">
        <x:v>45</x:v>
      </x:c>
      <x:c r="Y4" s="3" t="s">
        <x:v>46</x:v>
      </x:c>
      <x:c r="Z4" s="3" t="s">
        <x:v>47</x:v>
      </x:c>
      <x:c r="AA4" s="3" t="s">
        <x:v>48</x:v>
      </x:c>
      <x:c r="AB4" s="3" t="s">
        <x:v>49</x:v>
      </x:c>
      <x:c r="AC4" s="3" t="s">
        <x:v>50</x:v>
      </x:c>
      <x:c r="AD4" s="3" t="s">
        <x:v>51</x:v>
      </x:c>
      <x:c r="AE4" s="3" t="s">
        <x:v>52</x:v>
      </x:c>
      <x:c r="AF4" s="3" t="s">
        <x:v>53</x:v>
      </x:c>
      <x:c r="AG4" s="3" t="s">
        <x:v>54</x:v>
      </x:c>
      <x:c r="AH4" s="3" t="s">
        <x:v>55</x:v>
      </x:c>
      <x:c r="AI4" s="3" t="s">
        <x:v>56</x:v>
      </x:c>
      <x:c r="AJ4" s="3" t="s">
        <x:v>57</x:v>
      </x:c>
    </x:row>
    <x:row r="5" ht="409.5" customHeight="1">
      <x:c r="A5" s="4" t="s">
        <x:v>58</x:v>
      </x:c>
      <x:c r="B5" s="4" t="s">
        <x:v>59</x:v>
      </x:c>
      <x:c r="C5" s="4" t="s">
        <x:v>60</x:v>
      </x:c>
      <x:c r="D5" s="4" t="s">
        <x:v>61</x:v>
      </x:c>
      <x:c r="E5" s="4" t="s">
        <x:v>62</x:v>
      </x:c>
      <x:c r="F5" s="4" t="s">
        <x:v>63</x:v>
      </x:c>
      <x:c r="G5" s="4" t="s">
        <x:v>64</x:v>
      </x:c>
      <x:c r="H5" s="4">
        <x:v>8</x:v>
      </x:c>
      <x:c r="I5" s="4" t="s">
        <x:v>65</x:v>
      </x:c>
      <x:c r="J5" s="4" t="s">
        <x:v>66</x:v>
      </x:c>
      <x:c r="K5" s="4" t="s">
        <x:v>67</x:v>
      </x:c>
      <x:c r="L5" s="4" t="s">
        <x:v>68</x:v>
      </x:c>
      <x:c r="M5" s="4" t="s">
        <x:v>69</x:v>
      </x:c>
      <x:c r="N5" s="4" t="s">
        <x:v>70</x:v>
      </x:c>
      <x:c r="O5" s="4" t="s">
        <x:v>71</x:v>
      </x:c>
      <x:c r="P5" s="4">
        <x:v>1</x:v>
      </x:c>
      <x:c r="Q5" s="4" t="s">
        <x:v>72</x:v>
      </x:c>
      <x:c r="R5" s="4" t="s">
        <x:v>73</x:v>
      </x:c>
      <x:c r="S5" s="4" t="s">
        <x:v>74</x:v>
      </x:c>
      <x:c r="T5" s="4" t="s">
        <x:v>75</x:v>
      </x:c>
      <x:c r="U5" s="4" t="s">
        <x:v>76</x:v>
      </x:c>
      <x:c r="V5" s="4" t="s">
        <x:v>77</x:v>
      </x:c>
      <x:c r="W5" s="5"/>
      <x:c r="X5" s="5"/>
      <x:c r="Y5" s="5"/>
      <x:c r="Z5" s="5"/>
      <x:c r="AA5" s="5"/>
      <x:c r="AB5" s="6" t="str">
        <x:v>member2_liyun</x:v>
      </x:c>
      <x:c r="AC5" s="6" t="str">
        <x:v>NOT_ACCURATE</x:v>
      </x:c>
      <x:c r="AD5" s="6" t="str">
        <x:v>待定位</x:v>
      </x:c>
      <x:c r="AE5" s="6" t="str">
        <x:v>NCBI PMC OA BioC JSON; PMC10715499; section=ABSTRACT; passage_index=2, offset=137; exact raw/normalized evidence passage; URL=https://www.ncbi.nlm.nih.gov/research/bionlp/RESTful/pmcoa.cgi/PMC10715499/unicode</x:v>
      </x:c>
      <x:c r="AF5" s="6" t="str">
        <x:v>证据仅说明研究目的，未支持‘椎动脉经验不能外推到BADA’这一结论；当前定位需源文复核。</x:v>
      </x:c>
      <x:c r="AG5" s="6"/>
      <x:c r="AH5" s="6"/>
      <x:c r="AI5" s="6"/>
      <x:c r="AJ5" s="7" t="str">
        <x:f t="shared" ref="AJ5:AJ24" si="0">IF(COUNTA(AB5:AF5)=5,"已填写","待填写")</x:f>
        <x:v>已填写</x:v>
      </x:c>
    </x:row>
    <x:row r="6" ht="409.5" customHeight="1">
      <x:c r="A6" s="4" t="s">
        <x:v>78</x:v>
      </x:c>
      <x:c r="B6" s="4" t="s">
        <x:v>59</x:v>
      </x:c>
      <x:c r="C6" s="4" t="s">
        <x:v>60</x:v>
      </x:c>
      <x:c r="D6" s="4" t="s">
        <x:v>61</x:v>
      </x:c>
      <x:c r="E6" s="4" t="s">
        <x:v>62</x:v>
      </x:c>
      <x:c r="F6" s="4" t="s">
        <x:v>79</x:v>
      </x:c>
      <x:c r="G6" s="4" t="s">
        <x:v>80</x:v>
      </x:c>
      <x:c r="H6" s="4">
        <x:v>9</x:v>
      </x:c>
      <x:c r="I6" s="4" t="s">
        <x:v>65</x:v>
      </x:c>
      <x:c r="J6" s="4" t="s">
        <x:v>66</x:v>
      </x:c>
      <x:c r="K6" s="4" t="s">
        <x:v>67</x:v>
      </x:c>
      <x:c r="L6" s="4" t="s">
        <x:v>68</x:v>
      </x:c>
      <x:c r="M6" s="4" t="s">
        <x:v>69</x:v>
      </x:c>
      <x:c r="N6" s="4" t="s">
        <x:v>70</x:v>
      </x:c>
      <x:c r="O6" s="4" t="s">
        <x:v>71</x:v>
      </x:c>
      <x:c r="P6" s="4">
        <x:v>1</x:v>
      </x:c>
      <x:c r="Q6" s="4" t="s">
        <x:v>72</x:v>
      </x:c>
      <x:c r="R6" s="4" t="s">
        <x:v>73</x:v>
      </x:c>
      <x:c r="S6" s="4" t="s">
        <x:v>74</x:v>
      </x:c>
      <x:c r="T6" s="4" t="s">
        <x:v>75</x:v>
      </x:c>
      <x:c r="U6" s="4" t="s">
        <x:v>76</x:v>
      </x:c>
      <x:c r="V6" s="4" t="s">
        <x:v>77</x:v>
      </x:c>
      <x:c r="W6" s="5"/>
      <x:c r="X6" s="5"/>
      <x:c r="Y6" s="5"/>
      <x:c r="Z6" s="5"/>
      <x:c r="AA6" s="5"/>
      <x:c r="AB6" s="6" t="str">
        <x:v>member2_liyun</x:v>
      </x:c>
      <x:c r="AC6" s="6" t="str">
        <x:v>NOT_ACCURATE</x:v>
      </x:c>
      <x:c r="AD6" s="6" t="str">
        <x:v>待定位</x:v>
      </x:c>
      <x:c r="AE6" s="6" t="str">
        <x:v>NCBI PMC OA BioC JSON; PMC10715499; section=ABSTRACT; passage_index=2, offset=137; exact raw/normalized evidence passage; URL=https://www.ncbi.nlm.nih.gov/research/bionlp/RESTful/pmcoa.cgi/PMC10715499/unicode</x:v>
      </x:c>
      <x:c r="AF6" s="6" t="str">
        <x:v>证据仅说明BTA研究目的，未支持传统策略局限、复发或缺血并发症等完整主张；当前定位需源文复核。</x:v>
      </x:c>
      <x:c r="AG6" s="6"/>
      <x:c r="AH6" s="6"/>
      <x:c r="AI6" s="6"/>
      <x:c r="AJ6" s="7" t="str">
        <x:f t="shared" si="0">IF(COUNTA(AB6:AF6)=5,"已填写","待填写")</x:f>
        <x:v>已填写</x:v>
      </x:c>
    </x:row>
    <x:row r="7" ht="409.5" customHeight="1">
      <x:c r="A7" s="4" t="s">
        <x:v>81</x:v>
      </x:c>
      <x:c r="B7" s="4" t="s">
        <x:v>59</x:v>
      </x:c>
      <x:c r="C7" s="4" t="s">
        <x:v>60</x:v>
      </x:c>
      <x:c r="D7" s="4" t="s">
        <x:v>61</x:v>
      </x:c>
      <x:c r="E7" s="4" t="s">
        <x:v>62</x:v>
      </x:c>
      <x:c r="F7" s="4" t="s">
        <x:v>82</x:v>
      </x:c>
      <x:c r="G7" s="4" t="s">
        <x:v>83</x:v>
      </x:c>
      <x:c r="H7" s="4">
        <x:v>9</x:v>
      </x:c>
      <x:c r="I7" s="4" t="s">
        <x:v>65</x:v>
      </x:c>
      <x:c r="J7" s="4" t="s">
        <x:v>66</x:v>
      </x:c>
      <x:c r="K7" s="4" t="s">
        <x:v>67</x:v>
      </x:c>
      <x:c r="L7" s="4" t="s">
        <x:v>68</x:v>
      </x:c>
      <x:c r="M7" s="4" t="s">
        <x:v>84</x:v>
      </x:c>
      <x:c r="N7" s="4" t="s">
        <x:v>85</x:v>
      </x:c>
      <x:c r="O7" s="4" t="s">
        <x:v>86</x:v>
      </x:c>
      <x:c r="P7" s="4">
        <x:v>1</x:v>
      </x:c>
      <x:c r="Q7" s="4" t="s">
        <x:v>87</x:v>
      </x:c>
      <x:c r="R7" s="4" t="s">
        <x:v>88</x:v>
      </x:c>
      <x:c r="S7" s="4" t="s">
        <x:v>89</x:v>
      </x:c>
      <x:c r="T7" s="4" t="s">
        <x:v>90</x:v>
      </x:c>
      <x:c r="U7" s="4" t="s">
        <x:v>91</x:v>
      </x:c>
      <x:c r="V7" s="4" t="s">
        <x:v>77</x:v>
      </x:c>
      <x:c r="W7" s="5"/>
      <x:c r="X7" s="5"/>
      <x:c r="Y7" s="5"/>
      <x:c r="Z7" s="5"/>
      <x:c r="AA7" s="5"/>
      <x:c r="AB7" s="6" t="str">
        <x:v>member2_liyun</x:v>
      </x:c>
      <x:c r="AC7" s="6" t="str">
        <x:v>NOT_ACCURATE</x:v>
      </x:c>
      <x:c r="AD7" s="6" t="str">
        <x:v>待定位</x:v>
      </x:c>
      <x:c r="AE7" s="6" t="str">
        <x:v>NCBI PMC OA BioC JSON; PMC5007409; section=ABSTRACT; passage_index=2, offset=135; exact raw/normalized evidence passage; URL=https://www.ncbi.nlm.nih.gov/research/bionlp/RESTful/pmcoa.cgi/PMC5007409/unicode</x:v>
      </x:c>
      <x:c r="AF7" s="6" t="str">
        <x:v>证据只说明SACE在VBDA中的结局尚未充分建立，未覆盖claim列出的全部传统策略及具体局限；当前定位需源文复核。</x:v>
      </x:c>
      <x:c r="AG7" s="6"/>
      <x:c r="AH7" s="6"/>
      <x:c r="AI7" s="6"/>
      <x:c r="AJ7" s="7" t="str">
        <x:f t="shared" si="0">IF(COUNTA(AB7:AF7)=5,"已填写","待填写")</x:f>
        <x:v>已填写</x:v>
      </x:c>
    </x:row>
    <x:row r="8" ht="409.5" customHeight="1">
      <x:c r="A8" s="4" t="s">
        <x:v>92</x:v>
      </x:c>
      <x:c r="B8" s="4" t="s">
        <x:v>59</x:v>
      </x:c>
      <x:c r="C8" s="4" t="s">
        <x:v>60</x:v>
      </x:c>
      <x:c r="D8" s="4" t="s">
        <x:v>61</x:v>
      </x:c>
      <x:c r="E8" s="4" t="s">
        <x:v>62</x:v>
      </x:c>
      <x:c r="F8" s="4" t="s">
        <x:v>93</x:v>
      </x:c>
      <x:c r="G8" s="4" t="s">
        <x:v>94</x:v>
      </x:c>
      <x:c r="H8" s="4">
        <x:v>13</x:v>
      </x:c>
      <x:c r="I8" s="4" t="s">
        <x:v>65</x:v>
      </x:c>
      <x:c r="J8" s="4" t="s">
        <x:v>66</x:v>
      </x:c>
      <x:c r="K8" s="4" t="s">
        <x:v>67</x:v>
      </x:c>
      <x:c r="L8" s="4" t="s">
        <x:v>68</x:v>
      </x:c>
      <x:c r="M8" s="4" t="s">
        <x:v>95</x:v>
      </x:c>
      <x:c r="N8" s="4" t="s">
        <x:v>96</x:v>
      </x:c>
      <x:c r="O8" s="4" t="s">
        <x:v>97</x:v>
      </x:c>
      <x:c r="P8" s="4">
        <x:v>1</x:v>
      </x:c>
      <x:c r="Q8" s="4" t="s">
        <x:v>98</x:v>
      </x:c>
      <x:c r="R8" s="4" t="s">
        <x:v>99</x:v>
      </x:c>
      <x:c r="S8" s="4" t="s">
        <x:v>74</x:v>
      </x:c>
      <x:c r="T8" s="4" t="s">
        <x:v>100</x:v>
      </x:c>
      <x:c r="U8" s="4" t="s">
        <x:v>101</x:v>
      </x:c>
      <x:c r="V8" s="4" t="s">
        <x:v>77</x:v>
      </x:c>
      <x:c r="W8" s="5"/>
      <x:c r="X8" s="5"/>
      <x:c r="Y8" s="5"/>
      <x:c r="Z8" s="5"/>
      <x:c r="AA8" s="5"/>
      <x:c r="AB8" s="6" t="str">
        <x:v>member2_liyun</x:v>
      </x:c>
      <x:c r="AC8" s="6" t="str">
        <x:v>IRRELEVANT</x:v>
      </x:c>
      <x:c r="AD8" s="6" t="str">
        <x:v>待定位</x:v>
      </x:c>
      <x:c r="AE8" s="6" t="str">
        <x:v>NCBI PMC OA BioC JSON; PMC10850450; section=ABSTRACT; passage_index=1, offset=96; exact raw/normalized evidence passage; URL=https://www.ncbi.nlm.nih.gov/research/bionlp/RESTful/pmcoa.cgi/PMC10850450/unicode</x:v>
      </x:c>
      <x:c r="AF8" s="6" t="str">
        <x:v>被引文献是ICAD与HR-VWI综述，未涉及不接受EVT患者的排除标准；当前定位需源文复核。</x:v>
      </x:c>
      <x:c r="AG8" s="6"/>
      <x:c r="AH8" s="6"/>
      <x:c r="AI8" s="6"/>
      <x:c r="AJ8" s="7" t="str">
        <x:f t="shared" si="0">IF(COUNTA(AB8:AF8)=5,"已填写","待填写")</x:f>
        <x:v>已填写</x:v>
      </x:c>
    </x:row>
    <x:row r="9" ht="409.5" customHeight="1">
      <x:c r="A9" s="4" t="s">
        <x:v>102</x:v>
      </x:c>
      <x:c r="B9" s="4" t="s">
        <x:v>59</x:v>
      </x:c>
      <x:c r="C9" s="4" t="s">
        <x:v>60</x:v>
      </x:c>
      <x:c r="D9" s="4" t="s">
        <x:v>103</x:v>
      </x:c>
      <x:c r="E9" s="4" t="s">
        <x:v>104</x:v>
      </x:c>
      <x:c r="F9" s="4" t="s">
        <x:v>105</x:v>
      </x:c>
      <x:c r="G9" s="4" t="s">
        <x:v>106</x:v>
      </x:c>
      <x:c r="H9" s="4">
        <x:v>4</x:v>
      </x:c>
      <x:c r="I9" s="4" t="s">
        <x:v>107</x:v>
      </x:c>
      <x:c r="J9" s="4" t="s">
        <x:v>108</x:v>
      </x:c>
      <x:c r="K9" s="4" t="s">
        <x:v>67</x:v>
      </x:c>
      <x:c r="L9" s="4" t="s">
        <x:v>109</x:v>
      </x:c>
      <x:c r="M9" s="4" t="s">
        <x:v>110</x:v>
      </x:c>
      <x:c r="N9" s="4" t="s">
        <x:v>111</x:v>
      </x:c>
      <x:c r="O9" s="4" t="s">
        <x:v>112</x:v>
      </x:c>
      <x:c r="P9" s="4">
        <x:v>1</x:v>
      </x:c>
      <x:c r="Q9" s="4" t="s">
        <x:v>113</x:v>
      </x:c>
      <x:c r="R9" s="4" t="s">
        <x:v>114</x:v>
      </x:c>
      <x:c r="S9" s="4" t="s">
        <x:v>115</x:v>
      </x:c>
      <x:c r="T9" s="4" t="s">
        <x:v>116</x:v>
      </x:c>
      <x:c r="U9" s="4" t="s">
        <x:v>117</x:v>
      </x:c>
      <x:c r="V9" s="4" t="s">
        <x:v>77</x:v>
      </x:c>
      <x:c r="W9" s="5"/>
      <x:c r="X9" s="5"/>
      <x:c r="Y9" s="5"/>
      <x:c r="Z9" s="5"/>
      <x:c r="AA9" s="8"/>
      <x:c r="AB9" s="6" t="str">
        <x:v>member2_liyun</x:v>
      </x:c>
      <x:c r="AC9" s="6" t="str">
        <x:v>NOT_ACCURATE</x:v>
      </x:c>
      <x:c r="AD9" s="6" t="str">
        <x:v>待定位</x:v>
      </x:c>
      <x:c r="AE9" s="6" t="str">
        <x:v>NCBI PMC OA BioC JSON; PMC11309924; section=ABSTRACT; passage_index=2, offset=88; exact raw/normalized evidence passage; URL=https://www.ncbi.nlm.nih.gov/research/bionlp/RESTful/pmcoa.cgi/PMC11309924/unicode</x:v>
      </x:c>
      <x:c r="AF9" s="6" t="str">
        <x:v>证据说明化生性乳腺癌具有化疗耐药性，但未直接比较其标准化疗反应与传统TNBC；当前定位需源文复核。</x:v>
      </x:c>
      <x:c r="AG9" s="6"/>
      <x:c r="AH9" s="6"/>
      <x:c r="AI9" s="6"/>
      <x:c r="AJ9" s="7" t="str">
        <x:f t="shared" si="0">IF(COUNTA(AB9:AF9)=5,"已填写","待填写")</x:f>
        <x:v>已填写</x:v>
      </x:c>
    </x:row>
    <x:row r="10" ht="409.5" customHeight="1">
      <x:c r="A10" s="4" t="s">
        <x:v>118</x:v>
      </x:c>
      <x:c r="B10" s="4" t="s">
        <x:v>59</x:v>
      </x:c>
      <x:c r="C10" s="4" t="s">
        <x:v>60</x:v>
      </x:c>
      <x:c r="D10" s="4" t="s">
        <x:v>103</x:v>
      </x:c>
      <x:c r="E10" s="4" t="s">
        <x:v>104</x:v>
      </x:c>
      <x:c r="F10" s="4" t="s">
        <x:v>119</x:v>
      </x:c>
      <x:c r="G10" s="4" t="s">
        <x:v>120</x:v>
      </x:c>
      <x:c r="H10" s="4">
        <x:v>5</x:v>
      </x:c>
      <x:c r="I10" s="4" t="s">
        <x:v>107</x:v>
      </x:c>
      <x:c r="J10" s="4" t="s">
        <x:v>108</x:v>
      </x:c>
      <x:c r="K10" s="4" t="s">
        <x:v>67</x:v>
      </x:c>
      <x:c r="L10" s="4" t="s">
        <x:v>109</x:v>
      </x:c>
      <x:c r="M10" s="4" t="s">
        <x:v>121</x:v>
      </x:c>
      <x:c r="N10" s="4" t="s">
        <x:v>122</x:v>
      </x:c>
      <x:c r="O10" s="4" t="s">
        <x:v>123</x:v>
      </x:c>
      <x:c r="P10" s="4">
        <x:v>1</x:v>
      </x:c>
      <x:c r="Q10" s="4" t="s">
        <x:v>124</x:v>
      </x:c>
      <x:c r="R10" s="4" t="s">
        <x:v>125</x:v>
      </x:c>
      <x:c r="S10" s="4" t="s">
        <x:v>67</x:v>
      </x:c>
      <x:c r="T10" s="4" t="s">
        <x:v>126</x:v>
      </x:c>
      <x:c r="U10" s="4" t="s">
        <x:v>127</x:v>
      </x:c>
      <x:c r="V10" s="4" t="s">
        <x:v>77</x:v>
      </x:c>
      <x:c r="W10" s="5"/>
      <x:c r="X10" s="5"/>
      <x:c r="Y10" s="5"/>
      <x:c r="Z10" s="5"/>
      <x:c r="AA10" s="8"/>
      <x:c r="AB10" s="6" t="str">
        <x:v>member2_liyun</x:v>
      </x:c>
      <x:c r="AC10" s="6" t="str">
        <x:v>NOT_ACCURATE</x:v>
      </x:c>
      <x:c r="AD10" s="6" t="str">
        <x:v>待定位</x:v>
      </x:c>
      <x:c r="AE10" s="6" t="str">
        <x:v>NCBI PMC OA BioC JSON; PMC12491465; section=ABSTRACT; passage_index=1, offset=103; exact raw/normalized evidence passage; URL=https://www.ncbi.nlm.nih.gov/research/bionlp/RESTful/pmcoa.cgi/PMC12491465/unicode</x:v>
      </x:c>
      <x:c r="AF10" s="6" t="str">
        <x:v>证据报告NACI期间11/32（34%）进展，未支持约20%且需早期手术的完整表述；当前定位需源文复核。</x:v>
      </x:c>
      <x:c r="AG10" s="6"/>
      <x:c r="AH10" s="6"/>
      <x:c r="AI10" s="6"/>
      <x:c r="AJ10" s="7" t="str">
        <x:f t="shared" si="0">IF(COUNTA(AB10:AF10)=5,"已填写","待填写")</x:f>
        <x:v>已填写</x:v>
      </x:c>
    </x:row>
    <x:row r="11" ht="409.5" customHeight="1">
      <x:c r="A11" s="4" t="s">
        <x:v>128</x:v>
      </x:c>
      <x:c r="B11" s="4" t="s">
        <x:v>59</x:v>
      </x:c>
      <x:c r="C11" s="4" t="s">
        <x:v>60</x:v>
      </x:c>
      <x:c r="D11" s="4" t="s">
        <x:v>103</x:v>
      </x:c>
      <x:c r="E11" s="4" t="s">
        <x:v>104</x:v>
      </x:c>
      <x:c r="F11" s="4" t="s">
        <x:v>129</x:v>
      </x:c>
      <x:c r="G11" s="4" t="s">
        <x:v>130</x:v>
      </x:c>
      <x:c r="H11" s="4">
        <x:v>19</x:v>
      </x:c>
      <x:c r="I11" s="4" t="s">
        <x:v>107</x:v>
      </x:c>
      <x:c r="J11" s="4" t="s">
        <x:v>108</x:v>
      </x:c>
      <x:c r="K11" s="4" t="s">
        <x:v>67</x:v>
      </x:c>
      <x:c r="L11" s="4" t="s">
        <x:v>109</x:v>
      </x:c>
      <x:c r="M11" s="4" t="s">
        <x:v>131</x:v>
      </x:c>
      <x:c r="N11" s="4" t="s">
        <x:v>132</x:v>
      </x:c>
      <x:c r="O11" s="4" t="s">
        <x:v>133</x:v>
      </x:c>
      <x:c r="P11" s="4">
        <x:v>1</x:v>
      </x:c>
      <x:c r="Q11" s="4" t="s">
        <x:v>134</x:v>
      </x:c>
      <x:c r="R11" s="4" t="s">
        <x:v>135</x:v>
      </x:c>
      <x:c r="S11" s="4" t="s">
        <x:v>136</x:v>
      </x:c>
      <x:c r="T11" s="4" t="s">
        <x:v>137</x:v>
      </x:c>
      <x:c r="U11" s="4" t="s">
        <x:v>138</x:v>
      </x:c>
      <x:c r="V11" s="4" t="s">
        <x:v>77</x:v>
      </x:c>
      <x:c r="W11" s="5"/>
      <x:c r="X11" s="5"/>
      <x:c r="Y11" s="5"/>
      <x:c r="Z11" s="5"/>
      <x:c r="AA11" s="5"/>
      <x:c r="AB11" s="6" t="str">
        <x:v>member2_liyun</x:v>
      </x:c>
      <x:c r="AC11" s="6" t="str">
        <x:v>NOT_ACCURATE</x:v>
      </x:c>
      <x:c r="AD11" s="6" t="str">
        <x:v>待定位</x:v>
      </x:c>
      <x:c r="AE11" s="6" t="str">
        <x:v>NCBI PMC OA BioC JSON; PMC6709302; section=ABSTRACT; passage_index=3, offset=68; exact raw/normalized evidence passage; URL=https://www.ncbi.nlm.nih.gov/research/bionlp/RESTful/pmcoa.cgi/PMC6709302/unicode</x:v>
      </x:c>
      <x:c r="AF11" s="6" t="str">
        <x:v>证据是萘普生治疗肿瘤热的综述，未支持肿瘤坏死、免疫细胞浸润及IL-1/IL-6/TNF-α机制；当前定位需源文复核。</x:v>
      </x:c>
      <x:c r="AG11" s="6"/>
      <x:c r="AH11" s="6"/>
      <x:c r="AI11" s="6"/>
      <x:c r="AJ11" s="7" t="str">
        <x:f t="shared" si="0">IF(COUNTA(AB11:AF11)=5,"已填写","待填写")</x:f>
        <x:v>已填写</x:v>
      </x:c>
    </x:row>
    <x:row r="12" ht="409.5" customHeight="1">
      <x:c r="A12" s="4" t="s">
        <x:v>139</x:v>
      </x:c>
      <x:c r="B12" s="4" t="s">
        <x:v>59</x:v>
      </x:c>
      <x:c r="C12" s="4" t="s">
        <x:v>60</x:v>
      </x:c>
      <x:c r="D12" s="4" t="s">
        <x:v>103</x:v>
      </x:c>
      <x:c r="E12" s="4" t="s">
        <x:v>104</x:v>
      </x:c>
      <x:c r="F12" s="4" t="s">
        <x:v>129</x:v>
      </x:c>
      <x:c r="G12" s="4" t="s">
        <x:v>130</x:v>
      </x:c>
      <x:c r="H12" s="4">
        <x:v>19</x:v>
      </x:c>
      <x:c r="I12" s="4" t="s">
        <x:v>107</x:v>
      </x:c>
      <x:c r="J12" s="4" t="s">
        <x:v>108</x:v>
      </x:c>
      <x:c r="K12" s="4" t="s">
        <x:v>67</x:v>
      </x:c>
      <x:c r="L12" s="4" t="s">
        <x:v>109</x:v>
      </x:c>
      <x:c r="M12" s="4" t="s">
        <x:v>131</x:v>
      </x:c>
      <x:c r="N12" s="4" t="s">
        <x:v>132</x:v>
      </x:c>
      <x:c r="O12" s="4" t="s">
        <x:v>133</x:v>
      </x:c>
      <x:c r="P12" s="4">
        <x:v>1</x:v>
      </x:c>
      <x:c r="Q12" s="4" t="s">
        <x:v>134</x:v>
      </x:c>
      <x:c r="R12" s="4" t="s">
        <x:v>135</x:v>
      </x:c>
      <x:c r="S12" s="4" t="s">
        <x:v>136</x:v>
      </x:c>
      <x:c r="T12" s="4" t="s">
        <x:v>137</x:v>
      </x:c>
      <x:c r="U12" s="4" t="s">
        <x:v>138</x:v>
      </x:c>
      <x:c r="V12" s="4" t="s">
        <x:v>77</x:v>
      </x:c>
      <x:c r="W12" s="5"/>
      <x:c r="X12" s="5"/>
      <x:c r="Y12" s="5"/>
      <x:c r="Z12" s="5"/>
      <x:c r="AA12" s="5"/>
      <x:c r="AB12" s="6" t="str">
        <x:v>member2_liyun</x:v>
      </x:c>
      <x:c r="AC12" s="6" t="str">
        <x:v>NOT_ACCURATE</x:v>
      </x:c>
      <x:c r="AD12" s="6" t="str">
        <x:v>待定位</x:v>
      </x:c>
      <x:c r="AE12" s="6" t="str">
        <x:v>NCBI PMC OA BioC JSON; PMC6709302; section=ABSTRACT; passage_index=3, offset=68; exact raw/normalized evidence passage; URL=https://www.ncbi.nlm.nih.gov/research/bionlp/RESTful/pmcoa.cgi/PMC6709302/unicode</x:v>
      </x:c>
      <x:c r="AF12" s="6" t="str">
        <x:v>与V2-07相同，证据未支持肿瘤热机制的具体分子描述；当前定位需源文复核。</x:v>
      </x:c>
      <x:c r="AG12" s="6"/>
      <x:c r="AH12" s="6"/>
      <x:c r="AI12" s="6"/>
      <x:c r="AJ12" s="7" t="str">
        <x:f t="shared" si="0">IF(COUNTA(AB12:AF12)=5,"已填写","待填写")</x:f>
        <x:v>已填写</x:v>
      </x:c>
    </x:row>
    <x:row r="13" ht="409.5" customHeight="1">
      <x:c r="A13" s="4" t="s">
        <x:v>140</x:v>
      </x:c>
      <x:c r="B13" s="4" t="s">
        <x:v>59</x:v>
      </x:c>
      <x:c r="C13" s="4" t="s">
        <x:v>60</x:v>
      </x:c>
      <x:c r="D13" s="4" t="s">
        <x:v>141</x:v>
      </x:c>
      <x:c r="E13" s="4" t="s">
        <x:v>142</x:v>
      </x:c>
      <x:c r="F13" s="4" t="s">
        <x:v>143</x:v>
      </x:c>
      <x:c r="G13" s="4" t="s">
        <x:v>144</x:v>
      </x:c>
      <x:c r="H13" s="4">
        <x:v>2</x:v>
      </x:c>
      <x:c r="I13" s="4" t="s">
        <x:v>145</x:v>
      </x:c>
      <x:c r="J13" s="4" t="s">
        <x:v>146</x:v>
      </x:c>
      <x:c r="K13" s="4" t="s">
        <x:v>67</x:v>
      </x:c>
      <x:c r="L13" s="4" t="s">
        <x:v>147</x:v>
      </x:c>
      <x:c r="M13" s="4" t="s">
        <x:v>148</x:v>
      </x:c>
      <x:c r="N13" s="4" t="s">
        <x:v>149</x:v>
      </x:c>
      <x:c r="O13" s="4" t="s">
        <x:v>150</x:v>
      </x:c>
      <x:c r="P13" s="4">
        <x:v>1</x:v>
      </x:c>
      <x:c r="Q13" s="4" t="s">
        <x:v>151</x:v>
      </x:c>
      <x:c r="R13" s="4" t="s">
        <x:v>152</x:v>
      </x:c>
      <x:c r="S13" s="4" t="s">
        <x:v>67</x:v>
      </x:c>
      <x:c r="T13" s="4" t="s">
        <x:v>153</x:v>
      </x:c>
      <x:c r="U13" s="4" t="s">
        <x:v>154</x:v>
      </x:c>
      <x:c r="V13" s="4" t="s">
        <x:v>77</x:v>
      </x:c>
      <x:c r="W13" s="5"/>
      <x:c r="X13" s="5"/>
      <x:c r="Y13" s="5"/>
      <x:c r="Z13" s="5"/>
      <x:c r="AA13" s="5"/>
      <x:c r="AB13" s="6" t="str">
        <x:v>member2_liyun</x:v>
      </x:c>
      <x:c r="AC13" s="6" t="str">
        <x:v>NOT_ACCURATE</x:v>
      </x:c>
      <x:c r="AD13" s="6" t="str">
        <x:v>待定位</x:v>
      </x:c>
      <x:c r="AE13" s="6" t="str">
        <x:v>NCBI PMC OA BioC JSON; PMC11984007; section=ABSTRACT; passage_index=2, offset=157; exact raw/normalized evidence passage; URL=https://www.ncbi.nlm.nih.gov/research/bionlp/RESTful/pmcoa.cgi/PMC11984007/unicode</x:v>
      </x:c>
      <x:c r="AF13" s="6" t="str">
        <x:v>证据是斯里兰卡农村成人营养摄入调查，未支持新冠疫情及经济危机导致营养状况恶化；当前定位需源文复核。</x:v>
      </x:c>
      <x:c r="AG13" s="6"/>
      <x:c r="AH13" s="6"/>
      <x:c r="AI13" s="6"/>
      <x:c r="AJ13" s="7" t="str">
        <x:f t="shared" si="0">IF(COUNTA(AB13:AF13)=5,"已填写","待填写")</x:f>
        <x:v>已填写</x:v>
      </x:c>
    </x:row>
    <x:row r="14" ht="409.5" customHeight="1">
      <x:c r="A14" s="4" t="s">
        <x:v>155</x:v>
      </x:c>
      <x:c r="B14" s="4" t="s">
        <x:v>59</x:v>
      </x:c>
      <x:c r="C14" s="4" t="s">
        <x:v>60</x:v>
      </x:c>
      <x:c r="D14" s="4" t="s">
        <x:v>141</x:v>
      </x:c>
      <x:c r="E14" s="4" t="s">
        <x:v>142</x:v>
      </x:c>
      <x:c r="F14" s="4" t="s">
        <x:v>156</x:v>
      </x:c>
      <x:c r="G14" s="4" t="s">
        <x:v>157</x:v>
      </x:c>
      <x:c r="H14" s="4">
        <x:v>2</x:v>
      </x:c>
      <x:c r="I14" s="4" t="s">
        <x:v>145</x:v>
      </x:c>
      <x:c r="J14" s="4" t="s">
        <x:v>146</x:v>
      </x:c>
      <x:c r="K14" s="4" t="s">
        <x:v>67</x:v>
      </x:c>
      <x:c r="L14" s="4" t="s">
        <x:v>147</x:v>
      </x:c>
      <x:c r="M14" s="4" t="s">
        <x:v>158</x:v>
      </x:c>
      <x:c r="N14" s="4" t="s">
        <x:v>159</x:v>
      </x:c>
      <x:c r="O14" s="4" t="s">
        <x:v>160</x:v>
      </x:c>
      <x:c r="P14" s="4">
        <x:v>1</x:v>
      </x:c>
      <x:c r="Q14" s="4" t="s">
        <x:v>161</x:v>
      </x:c>
      <x:c r="R14" s="4" t="s">
        <x:v>162</x:v>
      </x:c>
      <x:c r="S14" s="4" t="s">
        <x:v>67</x:v>
      </x:c>
      <x:c r="T14" s="4" t="s">
        <x:v>163</x:v>
      </x:c>
      <x:c r="U14" s="4" t="s">
        <x:v>164</x:v>
      </x:c>
      <x:c r="V14" s="4" t="s">
        <x:v>77</x:v>
      </x:c>
      <x:c r="W14" s="5"/>
      <x:c r="X14" s="5"/>
      <x:c r="Y14" s="5"/>
      <x:c r="Z14" s="5"/>
      <x:c r="AA14" s="5"/>
      <x:c r="AB14" s="6" t="str">
        <x:v>member2_liyun</x:v>
      </x:c>
      <x:c r="AC14" s="6" t="str">
        <x:v>ACCURATE</x:v>
      </x:c>
      <x:c r="AD14" s="6" t="str">
        <x:v>待定位</x:v>
      </x:c>
      <x:c r="AE14" s="6" t="str">
        <x:v>NCBI PMC OA BioC JSON; PMC7696452; section=ABSTRACT; passage_index=1, offset=119; exact raw/normalized evidence passage; URL=https://www.ncbi.nlm.nih.gov/research/bionlp/RESTful/pmcoa.cgi/PMC7696452/unicode</x:v>
      </x:c>
      <x:c r="AF14" s="6" t="str">
        <x:v>证据直接指出微量营养素营养不良是包括斯里兰卡在内的发展中国家的严重公共卫生问题；当前定位需源文复核。</x:v>
      </x:c>
      <x:c r="AG14" s="6"/>
      <x:c r="AH14" s="6"/>
      <x:c r="AI14" s="6"/>
      <x:c r="AJ14" s="7" t="str">
        <x:f t="shared" si="0">IF(COUNTA(AB14:AF14)=5,"已填写","待填写")</x:f>
        <x:v>已填写</x:v>
      </x:c>
    </x:row>
    <x:row r="15" ht="409.5" customHeight="1">
      <x:c r="A15" s="4" t="s">
        <x:v>165</x:v>
      </x:c>
      <x:c r="B15" s="4" t="s">
        <x:v>59</x:v>
      </x:c>
      <x:c r="C15" s="4" t="s">
        <x:v>60</x:v>
      </x:c>
      <x:c r="D15" s="4" t="s">
        <x:v>141</x:v>
      </x:c>
      <x:c r="E15" s="4" t="s">
        <x:v>142</x:v>
      </x:c>
      <x:c r="F15" s="4" t="s">
        <x:v>166</x:v>
      </x:c>
      <x:c r="G15" s="4" t="s">
        <x:v>167</x:v>
      </x:c>
      <x:c r="H15" s="4">
        <x:v>2</x:v>
      </x:c>
      <x:c r="I15" s="4" t="s">
        <x:v>145</x:v>
      </x:c>
      <x:c r="J15" s="4" t="s">
        <x:v>146</x:v>
      </x:c>
      <x:c r="K15" s="4" t="s">
        <x:v>67</x:v>
      </x:c>
      <x:c r="L15" s="4" t="s">
        <x:v>147</x:v>
      </x:c>
      <x:c r="M15" s="4" t="s">
        <x:v>168</x:v>
      </x:c>
      <x:c r="N15" s="4" t="s">
        <x:v>169</x:v>
      </x:c>
      <x:c r="O15" s="4" t="s">
        <x:v>170</x:v>
      </x:c>
      <x:c r="P15" s="4">
        <x:v>1</x:v>
      </x:c>
      <x:c r="Q15" s="4" t="s">
        <x:v>171</x:v>
      </x:c>
      <x:c r="R15" s="4" t="s">
        <x:v>172</x:v>
      </x:c>
      <x:c r="S15" s="4" t="s">
        <x:v>67</x:v>
      </x:c>
      <x:c r="T15" s="4" t="s">
        <x:v>173</x:v>
      </x:c>
      <x:c r="U15" s="4" t="s">
        <x:v>174</x:v>
      </x:c>
      <x:c r="V15" s="4" t="s">
        <x:v>77</x:v>
      </x:c>
      <x:c r="W15" s="5"/>
      <x:c r="X15" s="5"/>
      <x:c r="Y15" s="5"/>
      <x:c r="Z15" s="5"/>
      <x:c r="AA15" s="5"/>
      <x:c r="AB15" s="6" t="str">
        <x:v>member2_liyun</x:v>
      </x:c>
      <x:c r="AC15" s="6" t="str">
        <x:v>ACCURATE</x:v>
      </x:c>
      <x:c r="AD15" s="6" t="str">
        <x:v>待定位</x:v>
      </x:c>
      <x:c r="AE15" s="6" t="str">
        <x:v>NCBI PMC OA BioC JSON; PMC8793832; section=ABSTRACT; passage_index=1, offset=54; exact raw/normalized evidence passage; URL=https://www.ncbi.nlm.nih.gov/research/bionlp/RESTful/pmcoa.cgi/PMC8793832/unicode</x:v>
      </x:c>
      <x:c r="AF15" s="6" t="str">
        <x:v>证据直接说明牛奶提供优质蛋白、氨基酸、维生素和矿物质，并对全球营养供给有重要贡献；当前定位需源文复核。</x:v>
      </x:c>
      <x:c r="AG15" s="6"/>
      <x:c r="AH15" s="6"/>
      <x:c r="AI15" s="6"/>
      <x:c r="AJ15" s="7" t="str">
        <x:f t="shared" si="0">IF(COUNTA(AB15:AF15)=5,"已填写","待填写")</x:f>
        <x:v>已填写</x:v>
      </x:c>
    </x:row>
    <x:row r="16" ht="409.5" customHeight="1">
      <x:c r="A16" s="4" t="s">
        <x:v>175</x:v>
      </x:c>
      <x:c r="B16" s="4" t="s">
        <x:v>59</x:v>
      </x:c>
      <x:c r="C16" s="4" t="s">
        <x:v>60</x:v>
      </x:c>
      <x:c r="D16" s="4" t="s">
        <x:v>141</x:v>
      </x:c>
      <x:c r="E16" s="4" t="s">
        <x:v>142</x:v>
      </x:c>
      <x:c r="F16" s="4" t="s">
        <x:v>176</x:v>
      </x:c>
      <x:c r="G16" s="4" t="s">
        <x:v>177</x:v>
      </x:c>
      <x:c r="H16" s="4">
        <x:v>6</x:v>
      </x:c>
      <x:c r="I16" s="4" t="s">
        <x:v>145</x:v>
      </x:c>
      <x:c r="J16" s="4" t="s">
        <x:v>146</x:v>
      </x:c>
      <x:c r="K16" s="4" t="s">
        <x:v>67</x:v>
      </x:c>
      <x:c r="L16" s="4" t="s">
        <x:v>147</x:v>
      </x:c>
      <x:c r="M16" s="4" t="s">
        <x:v>178</x:v>
      </x:c>
      <x:c r="N16" s="4" t="s">
        <x:v>179</x:v>
      </x:c>
      <x:c r="O16" s="4" t="s">
        <x:v>180</x:v>
      </x:c>
      <x:c r="P16" s="4">
        <x:v>1</x:v>
      </x:c>
      <x:c r="Q16" s="4" t="s">
        <x:v>181</x:v>
      </x:c>
      <x:c r="R16" s="4" t="s">
        <x:v>182</x:v>
      </x:c>
      <x:c r="S16" s="4" t="s">
        <x:v>67</x:v>
      </x:c>
      <x:c r="T16" s="4" t="s">
        <x:v>183</x:v>
      </x:c>
      <x:c r="U16" s="4" t="s">
        <x:v>184</x:v>
      </x:c>
      <x:c r="V16" s="4" t="s">
        <x:v>77</x:v>
      </x:c>
      <x:c r="W16" s="5"/>
      <x:c r="X16" s="5"/>
      <x:c r="Y16" s="5"/>
      <x:c r="Z16" s="5"/>
      <x:c r="AA16" s="8"/>
      <x:c r="AB16" s="6" t="str">
        <x:v>member2_liyun</x:v>
      </x:c>
      <x:c r="AC16" s="6" t="str">
        <x:v>NOT_ACCURATE</x:v>
      </x:c>
      <x:c r="AD16" s="6" t="str">
        <x:v>待定位</x:v>
      </x:c>
      <x:c r="AE16" s="6" t="str">
        <x:v>NCBI PMC OA BioC JSON; PMC6982324; section=ABSTRACT; passage_index=1, offset=76; exact raw/normalized evidence passage; URL=https://www.ncbi.nlm.nih.gov/research/bionlp/RESTful/pmcoa.cgi/PMC6982324/unicode</x:v>
      </x:c>
      <x:c r="AF16" s="6" t="str">
        <x:v>证据只显示一项研究把脂肪含量列为牛奶属性，未支持‘已被多位研究者广泛研究’；当前定位需源文复核。</x:v>
      </x:c>
      <x:c r="AG16" s="6"/>
      <x:c r="AH16" s="6"/>
      <x:c r="AI16" s="6"/>
      <x:c r="AJ16" s="7" t="str">
        <x:f t="shared" si="0">IF(COUNTA(AB16:AF16)=5,"已填写","待填写")</x:f>
        <x:v>已填写</x:v>
      </x:c>
    </x:row>
    <x:row r="17" ht="409.5" customHeight="1">
      <x:c r="A17" s="4" t="s">
        <x:v>185</x:v>
      </x:c>
      <x:c r="B17" s="4" t="s">
        <x:v>59</x:v>
      </x:c>
      <x:c r="C17" s="4" t="s">
        <x:v>60</x:v>
      </x:c>
      <x:c r="D17" s="4" t="s">
        <x:v>141</x:v>
      </x:c>
      <x:c r="E17" s="4" t="s">
        <x:v>142</x:v>
      </x:c>
      <x:c r="F17" s="4" t="s">
        <x:v>186</x:v>
      </x:c>
      <x:c r="G17" s="4" t="s">
        <x:v>187</x:v>
      </x:c>
      <x:c r="H17" s="4">
        <x:v>7</x:v>
      </x:c>
      <x:c r="I17" s="4" t="s">
        <x:v>145</x:v>
      </x:c>
      <x:c r="J17" s="4" t="s">
        <x:v>146</x:v>
      </x:c>
      <x:c r="K17" s="4" t="s">
        <x:v>67</x:v>
      </x:c>
      <x:c r="L17" s="4" t="s">
        <x:v>147</x:v>
      </x:c>
      <x:c r="M17" s="4" t="s">
        <x:v>178</x:v>
      </x:c>
      <x:c r="N17" s="4" t="s">
        <x:v>179</x:v>
      </x:c>
      <x:c r="O17" s="4" t="s">
        <x:v>180</x:v>
      </x:c>
      <x:c r="P17" s="4">
        <x:v>1</x:v>
      </x:c>
      <x:c r="Q17" s="4" t="s">
        <x:v>181</x:v>
      </x:c>
      <x:c r="R17" s="4" t="s">
        <x:v>182</x:v>
      </x:c>
      <x:c r="S17" s="4" t="s">
        <x:v>67</x:v>
      </x:c>
      <x:c r="T17" s="4" t="s">
        <x:v>183</x:v>
      </x:c>
      <x:c r="U17" s="4" t="s">
        <x:v>184</x:v>
      </x:c>
      <x:c r="V17" s="4" t="s">
        <x:v>77</x:v>
      </x:c>
      <x:c r="W17" s="5"/>
      <x:c r="X17" s="5"/>
      <x:c r="Y17" s="5"/>
      <x:c r="Z17" s="5"/>
      <x:c r="AA17" s="5"/>
      <x:c r="AB17" s="6" t="str">
        <x:v>member2_liyun</x:v>
      </x:c>
      <x:c r="AC17" s="6" t="str">
        <x:v>NOT_ACCURATE</x:v>
      </x:c>
      <x:c r="AD17" s="6" t="str">
        <x:v>待定位</x:v>
      </x:c>
      <x:c r="AE17" s="6" t="str">
        <x:v>NCBI PMC OA BioC JSON; PMC6982324; section=ABSTRACT; passage_index=1, offset=76; exact raw/normalized evidence passage; URL=https://www.ncbi.nlm.nih.gov/research/bionlp/RESTful/pmcoa.cgi/PMC6982324/unicode</x:v>
      </x:c>
      <x:c r="AF17" s="6" t="str">
        <x:v>证据列出营养声明、脂肪含量等属性，但未给出Fe/Ca/Zn/维生素D强化与仅A/D之间的偏好结果；当前定位需源文复核。</x:v>
      </x:c>
      <x:c r="AG17" s="6"/>
      <x:c r="AH17" s="6"/>
      <x:c r="AI17" s="6"/>
      <x:c r="AJ17" s="7" t="str">
        <x:f t="shared" si="0">IF(COUNTA(AB17:AF17)=5,"已填写","待填写")</x:f>
        <x:v>已填写</x:v>
      </x:c>
    </x:row>
    <x:row r="18" ht="409.5" customHeight="1">
      <x:c r="A18" s="4" t="s">
        <x:v>188</x:v>
      </x:c>
      <x:c r="B18" s="4" t="s">
        <x:v>59</x:v>
      </x:c>
      <x:c r="C18" s="4" t="s">
        <x:v>60</x:v>
      </x:c>
      <x:c r="D18" s="4" t="s">
        <x:v>189</x:v>
      </x:c>
      <x:c r="E18" s="4" t="s">
        <x:v>190</x:v>
      </x:c>
      <x:c r="F18" s="4" t="s">
        <x:v>191</x:v>
      </x:c>
      <x:c r="G18" s="4" t="s">
        <x:v>192</x:v>
      </x:c>
      <x:c r="H18" s="4">
        <x:v>6</x:v>
      </x:c>
      <x:c r="I18" s="4" t="s">
        <x:v>193</x:v>
      </x:c>
      <x:c r="J18" s="4" t="s">
        <x:v>194</x:v>
      </x:c>
      <x:c r="K18" s="4" t="s">
        <x:v>67</x:v>
      </x:c>
      <x:c r="L18" s="4" t="s">
        <x:v>195</x:v>
      </x:c>
      <x:c r="M18" s="4" t="s">
        <x:v>196</x:v>
      </x:c>
      <x:c r="N18" s="4" t="s">
        <x:v>197</x:v>
      </x:c>
      <x:c r="O18" s="4" t="s">
        <x:v>198</x:v>
      </x:c>
      <x:c r="P18" s="4">
        <x:v>1</x:v>
      </x:c>
      <x:c r="Q18" s="4" t="s">
        <x:v>199</x:v>
      </x:c>
      <x:c r="R18" s="4" t="s">
        <x:v>200</x:v>
      </x:c>
      <x:c r="S18" s="4" t="s">
        <x:v>67</x:v>
      </x:c>
      <x:c r="T18" s="4" t="s">
        <x:v>201</x:v>
      </x:c>
      <x:c r="U18" s="4" t="s">
        <x:v>202</x:v>
      </x:c>
      <x:c r="V18" s="4" t="s">
        <x:v>77</x:v>
      </x:c>
      <x:c r="W18" s="5"/>
      <x:c r="X18" s="5"/>
      <x:c r="Y18" s="5"/>
      <x:c r="Z18" s="5"/>
      <x:c r="AA18" s="5"/>
      <x:c r="AB18" s="6" t="str">
        <x:v>member2_liyun</x:v>
      </x:c>
      <x:c r="AC18" s="6" t="str">
        <x:v>ACCURATE</x:v>
      </x:c>
      <x:c r="AD18" s="6" t="str">
        <x:v>待定位</x:v>
      </x:c>
      <x:c r="AE18" s="6" t="str">
        <x:v>NCBI PMC OA BioC JSON; PMC12297025; section=ABSTRACT; passage_index=1, offset=113; exact raw/normalized evidence passage; URL=https://www.ncbi.nlm.nih.gov/research/bionlp/RESTful/pmcoa.cgi/PMC12297025/unicode</x:v>
      </x:c>
      <x:c r="AF18" s="6" t="str">
        <x:v>证据直接说明营养恢复策略对短恢复间隔运动员尤其重要；当前定位需源文复核。</x:v>
      </x:c>
      <x:c r="AG18" s="6"/>
      <x:c r="AH18" s="6"/>
      <x:c r="AI18" s="6"/>
      <x:c r="AJ18" s="7" t="str">
        <x:f t="shared" si="0">IF(COUNTA(AB18:AF18)=5,"已填写","待填写")</x:f>
        <x:v>已填写</x:v>
      </x:c>
    </x:row>
    <x:row r="19" ht="409.5" customHeight="1">
      <x:c r="A19" s="4" t="s">
        <x:v>203</x:v>
      </x:c>
      <x:c r="B19" s="4" t="s">
        <x:v>59</x:v>
      </x:c>
      <x:c r="C19" s="4" t="s">
        <x:v>60</x:v>
      </x:c>
      <x:c r="D19" s="4" t="s">
        <x:v>189</x:v>
      </x:c>
      <x:c r="E19" s="4" t="s">
        <x:v>190</x:v>
      </x:c>
      <x:c r="F19" s="4" t="s">
        <x:v>204</x:v>
      </x:c>
      <x:c r="G19" s="4" t="s">
        <x:v>205</x:v>
      </x:c>
      <x:c r="H19" s="4">
        <x:v>7</x:v>
      </x:c>
      <x:c r="I19" s="4" t="s">
        <x:v>193</x:v>
      </x:c>
      <x:c r="J19" s="4" t="s">
        <x:v>194</x:v>
      </x:c>
      <x:c r="K19" s="4" t="s">
        <x:v>67</x:v>
      </x:c>
      <x:c r="L19" s="4" t="s">
        <x:v>195</x:v>
      </x:c>
      <x:c r="M19" s="4" t="s">
        <x:v>206</x:v>
      </x:c>
      <x:c r="N19" s="4" t="s">
        <x:v>207</x:v>
      </x:c>
      <x:c r="O19" s="4" t="s">
        <x:v>208</x:v>
      </x:c>
      <x:c r="P19" s="4">
        <x:v>1</x:v>
      </x:c>
      <x:c r="Q19" s="4" t="s">
        <x:v>209</x:v>
      </x:c>
      <x:c r="R19" s="4" t="s">
        <x:v>210</x:v>
      </x:c>
      <x:c r="S19" s="4" t="s">
        <x:v>67</x:v>
      </x:c>
      <x:c r="T19" s="4" t="s">
        <x:v>211</x:v>
      </x:c>
      <x:c r="U19" s="4" t="s">
        <x:v>212</x:v>
      </x:c>
      <x:c r="V19" s="4" t="s">
        <x:v>77</x:v>
      </x:c>
      <x:c r="W19" s="5"/>
      <x:c r="X19" s="5"/>
      <x:c r="Y19" s="5"/>
      <x:c r="Z19" s="5"/>
      <x:c r="AA19" s="5"/>
      <x:c r="AB19" s="6" t="str">
        <x:v>member2_liyun</x:v>
      </x:c>
      <x:c r="AC19" s="6" t="str">
        <x:v>NOT_ACCURATE</x:v>
      </x:c>
      <x:c r="AD19" s="6" t="str">
        <x:v>待定位</x:v>
      </x:c>
      <x:c r="AE19" s="6" t="str">
        <x:v>NCBI PMC OA BioC JSON; PMC5839013; section=ABSTRACT; passage_index=2, offset=106; exact raw/normalized evidence passage; URL=https://www.ncbi.nlm.nih.gov/research/bionlp/RESTful/pmcoa.cgi/PMC5839013/unicode</x:v>
      </x:c>
      <x:c r="AF19" s="6" t="str">
        <x:v>证据支持咖啡因作为运动增效剂，但未支持3–6 mg/kg剂量范围，且对力量和功率的效果被描述为不确定；当前定位需源文复核。</x:v>
      </x:c>
      <x:c r="AG19" s="6"/>
      <x:c r="AH19" s="6"/>
      <x:c r="AI19" s="6"/>
      <x:c r="AJ19" s="7" t="str">
        <x:f t="shared" si="0">IF(COUNTA(AB19:AF19)=5,"已填写","待填写")</x:f>
        <x:v>已填写</x:v>
      </x:c>
    </x:row>
    <x:row r="20" ht="409.5" customHeight="1">
      <x:c r="A20" s="4" t="s">
        <x:v>213</x:v>
      </x:c>
      <x:c r="B20" s="4" t="s">
        <x:v>59</x:v>
      </x:c>
      <x:c r="C20" s="4" t="s">
        <x:v>60</x:v>
      </x:c>
      <x:c r="D20" s="4" t="s">
        <x:v>189</x:v>
      </x:c>
      <x:c r="E20" s="4" t="s">
        <x:v>190</x:v>
      </x:c>
      <x:c r="F20" s="4" t="s">
        <x:v>214</x:v>
      </x:c>
      <x:c r="G20" s="4" t="s">
        <x:v>215</x:v>
      </x:c>
      <x:c r="H20" s="4">
        <x:v>7</x:v>
      </x:c>
      <x:c r="I20" s="4" t="s">
        <x:v>193</x:v>
      </x:c>
      <x:c r="J20" s="4" t="s">
        <x:v>194</x:v>
      </x:c>
      <x:c r="K20" s="4" t="s">
        <x:v>67</x:v>
      </x:c>
      <x:c r="L20" s="4" t="s">
        <x:v>195</x:v>
      </x:c>
      <x:c r="M20" s="4" t="s">
        <x:v>216</x:v>
      </x:c>
      <x:c r="N20" s="4" t="s">
        <x:v>217</x:v>
      </x:c>
      <x:c r="O20" s="4" t="s">
        <x:v>218</x:v>
      </x:c>
      <x:c r="P20" s="4">
        <x:v>1</x:v>
      </x:c>
      <x:c r="Q20" s="4" t="s">
        <x:v>219</x:v>
      </x:c>
      <x:c r="R20" s="4" t="s">
        <x:v>220</x:v>
      </x:c>
      <x:c r="S20" s="4" t="s">
        <x:v>67</x:v>
      </x:c>
      <x:c r="T20" s="4" t="s">
        <x:v>221</x:v>
      </x:c>
      <x:c r="U20" s="4" t="s">
        <x:v>222</x:v>
      </x:c>
      <x:c r="V20" s="4" t="s">
        <x:v>77</x:v>
      </x:c>
      <x:c r="W20" s="5"/>
      <x:c r="X20" s="5"/>
      <x:c r="Y20" s="5"/>
      <x:c r="Z20" s="5"/>
      <x:c r="AA20" s="5"/>
      <x:c r="AB20" s="6" t="str">
        <x:v>member2_liyun</x:v>
      </x:c>
      <x:c r="AC20" s="6" t="str">
        <x:v>NOT_ACCURATE</x:v>
      </x:c>
      <x:c r="AD20" s="6" t="str">
        <x:v>待定位</x:v>
      </x:c>
      <x:c r="AE20" s="6" t="str">
        <x:v>NCBI PMC OA BioC JSON; PMC7777221; section=ABSTRACT; passage_index=1, offset=92; passage_index=12, offset=2572; normalized evidence span (source punctuation/spacing differs); URL=https://www.ncbi.nlm.nih.gov/research/bionlp/RESTful/pmcoa.cgi/PMC7777221/unicode</x:v>
      </x:c>
      <x:c r="AF20" s="6" t="str">
        <x:v>证据支持咖啡因可急性增强部分运动表现，但未给出claim中的3–6 mg/kg有效剂量范围；当前定位需源文复核。</x:v>
      </x:c>
      <x:c r="AG20" s="6"/>
      <x:c r="AH20" s="6"/>
      <x:c r="AI20" s="6"/>
      <x:c r="AJ20" s="7" t="str">
        <x:f t="shared" si="0">IF(COUNTA(AB20:AF20)=5,"已填写","待填写")</x:f>
        <x:v>已填写</x:v>
      </x:c>
    </x:row>
    <x:row r="21" ht="409.5" customHeight="1">
      <x:c r="A21" s="4" t="s">
        <x:v>223</x:v>
      </x:c>
      <x:c r="B21" s="4" t="s">
        <x:v>59</x:v>
      </x:c>
      <x:c r="C21" s="4" t="s">
        <x:v>60</x:v>
      </x:c>
      <x:c r="D21" s="4" t="s">
        <x:v>189</x:v>
      </x:c>
      <x:c r="E21" s="4" t="s">
        <x:v>190</x:v>
      </x:c>
      <x:c r="F21" s="4" t="s">
        <x:v>224</x:v>
      </x:c>
      <x:c r="G21" s="4" t="s">
        <x:v>225</x:v>
      </x:c>
      <x:c r="H21" s="4">
        <x:v>8</x:v>
      </x:c>
      <x:c r="I21" s="4" t="s">
        <x:v>193</x:v>
      </x:c>
      <x:c r="J21" s="4" t="s">
        <x:v>194</x:v>
      </x:c>
      <x:c r="K21" s="4" t="s">
        <x:v>67</x:v>
      </x:c>
      <x:c r="L21" s="4" t="s">
        <x:v>195</x:v>
      </x:c>
      <x:c r="M21" s="4" t="s">
        <x:v>226</x:v>
      </x:c>
      <x:c r="N21" s="4" t="s">
        <x:v>227</x:v>
      </x:c>
      <x:c r="O21" s="4" t="s">
        <x:v>228</x:v>
      </x:c>
      <x:c r="P21" s="4">
        <x:v>1</x:v>
      </x:c>
      <x:c r="Q21" s="4" t="s">
        <x:v>229</x:v>
      </x:c>
      <x:c r="R21" s="4" t="s">
        <x:v>230</x:v>
      </x:c>
      <x:c r="S21" s="4" t="s">
        <x:v>67</x:v>
      </x:c>
      <x:c r="T21" s="4" t="s">
        <x:v>231</x:v>
      </x:c>
      <x:c r="U21" s="4" t="s">
        <x:v>232</x:v>
      </x:c>
      <x:c r="V21" s="4" t="s">
        <x:v>77</x:v>
      </x:c>
      <x:c r="W21" s="5"/>
      <x:c r="X21" s="5"/>
      <x:c r="Y21" s="5"/>
      <x:c r="Z21" s="5"/>
      <x:c r="AA21" s="8"/>
      <x:c r="AB21" s="6" t="str">
        <x:v>member2_liyun</x:v>
      </x:c>
      <x:c r="AC21" s="6" t="str">
        <x:v>ACCURATE</x:v>
      </x:c>
      <x:c r="AD21" s="6" t="str">
        <x:v>待定位</x:v>
      </x:c>
      <x:c r="AE21" s="6" t="str">
        <x:v>NCBI PMC OA BioC JSON; PMC9099525; section=ABSTRACT; passage_index=1, offset=120; exact raw/normalized evidence passage; URL=https://www.ncbi.nlm.nih.gov/research/bionlp/RESTful/pmcoa.cgi/PMC9099525/unicode</x:v>
      </x:c>
      <x:c r="AF21" s="6" t="str">
        <x:v>证据报告咖啡因可减轻疼痛感知，且单次给药未改变CK，支持疼痛或功能变化不一定伴随生理指标改善；当前定位需源文复核。</x:v>
      </x:c>
      <x:c r="AG21" s="6"/>
      <x:c r="AH21" s="6"/>
      <x:c r="AI21" s="6"/>
      <x:c r="AJ21" s="7" t="str">
        <x:f t="shared" si="0">IF(COUNTA(AB21:AF21)=5,"已填写","待填写")</x:f>
        <x:v>已填写</x:v>
      </x:c>
    </x:row>
    <x:row r="22" ht="409.5" customHeight="1">
      <x:c r="A22" s="4" t="s">
        <x:v>233</x:v>
      </x:c>
      <x:c r="B22" s="4" t="s">
        <x:v>59</x:v>
      </x:c>
      <x:c r="C22" s="4" t="s">
        <x:v>60</x:v>
      </x:c>
      <x:c r="D22" s="4" t="s">
        <x:v>189</x:v>
      </x:c>
      <x:c r="E22" s="4" t="s">
        <x:v>190</x:v>
      </x:c>
      <x:c r="F22" s="4" t="s">
        <x:v>224</x:v>
      </x:c>
      <x:c r="G22" s="4" t="s">
        <x:v>225</x:v>
      </x:c>
      <x:c r="H22" s="4">
        <x:v>8</x:v>
      </x:c>
      <x:c r="I22" s="4" t="s">
        <x:v>193</x:v>
      </x:c>
      <x:c r="J22" s="4" t="s">
        <x:v>194</x:v>
      </x:c>
      <x:c r="K22" s="4" t="s">
        <x:v>67</x:v>
      </x:c>
      <x:c r="L22" s="4" t="s">
        <x:v>195</x:v>
      </x:c>
      <x:c r="M22" s="4" t="s">
        <x:v>226</x:v>
      </x:c>
      <x:c r="N22" s="4" t="s">
        <x:v>227</x:v>
      </x:c>
      <x:c r="O22" s="4" t="s">
        <x:v>228</x:v>
      </x:c>
      <x:c r="P22" s="4">
        <x:v>1</x:v>
      </x:c>
      <x:c r="Q22" s="4" t="s">
        <x:v>229</x:v>
      </x:c>
      <x:c r="R22" s="4" t="s">
        <x:v>230</x:v>
      </x:c>
      <x:c r="S22" s="4" t="s">
        <x:v>67</x:v>
      </x:c>
      <x:c r="T22" s="4" t="s">
        <x:v>231</x:v>
      </x:c>
      <x:c r="U22" s="4" t="s">
        <x:v>232</x:v>
      </x:c>
      <x:c r="V22" s="4" t="s">
        <x:v>77</x:v>
      </x:c>
      <x:c r="W22" s="5"/>
      <x:c r="X22" s="5"/>
      <x:c r="Y22" s="5"/>
      <x:c r="Z22" s="5"/>
      <x:c r="AA22" s="8"/>
      <x:c r="AB22" s="6" t="str">
        <x:v>member2_liyun</x:v>
      </x:c>
      <x:c r="AC22" s="6" t="str">
        <x:v>ACCURATE</x:v>
      </x:c>
      <x:c r="AD22" s="6" t="str">
        <x:v>待定位</x:v>
      </x:c>
      <x:c r="AE22" s="6" t="str">
        <x:v>NCBI PMC OA BioC JSON; PMC9099525; section=ABSTRACT; passage_index=1, offset=120; exact raw/normalized evidence passage; URL=https://www.ncbi.nlm.nih.gov/research/bionlp/RESTful/pmcoa.cgi/PMC9099525/unicode</x:v>
      </x:c>
      <x:c r="AF22" s="6" t="str">
        <x:v>与V2-17相同，证据支持疼痛感知改善与CK未改变的并存；当前定位需源文复核。</x:v>
      </x:c>
      <x:c r="AG22" s="6"/>
      <x:c r="AH22" s="6"/>
      <x:c r="AI22" s="6"/>
      <x:c r="AJ22" s="7" t="str">
        <x:f t="shared" si="0">IF(COUNTA(AB22:AF22)=5,"已填写","待填写")</x:f>
        <x:v>已填写</x:v>
      </x:c>
    </x:row>
    <x:row r="23" ht="409.5" customHeight="1">
      <x:c r="A23" s="4" t="s">
        <x:v>234</x:v>
      </x:c>
      <x:c r="B23" s="4" t="s">
        <x:v>59</x:v>
      </x:c>
      <x:c r="C23" s="4" t="s">
        <x:v>60</x:v>
      </x:c>
      <x:c r="D23" s="4" t="s">
        <x:v>189</x:v>
      </x:c>
      <x:c r="E23" s="4" t="s">
        <x:v>190</x:v>
      </x:c>
      <x:c r="F23" s="4" t="s">
        <x:v>235</x:v>
      </x:c>
      <x:c r="G23" s="4" t="s">
        <x:v>236</x:v>
      </x:c>
      <x:c r="H23" s="4">
        <x:v>8</x:v>
      </x:c>
      <x:c r="I23" s="4" t="s">
        <x:v>193</x:v>
      </x:c>
      <x:c r="J23" s="4" t="s">
        <x:v>194</x:v>
      </x:c>
      <x:c r="K23" s="4" t="s">
        <x:v>67</x:v>
      </x:c>
      <x:c r="L23" s="4" t="s">
        <x:v>195</x:v>
      </x:c>
      <x:c r="M23" s="4" t="s">
        <x:v>237</x:v>
      </x:c>
      <x:c r="N23" s="4" t="s">
        <x:v>238</x:v>
      </x:c>
      <x:c r="O23" s="4" t="s">
        <x:v>239</x:v>
      </x:c>
      <x:c r="P23" s="4">
        <x:v>1</x:v>
      </x:c>
      <x:c r="Q23" s="4" t="s">
        <x:v>240</x:v>
      </x:c>
      <x:c r="R23" s="4" t="s">
        <x:v>241</x:v>
      </x:c>
      <x:c r="S23" s="4" t="s">
        <x:v>242</x:v>
      </x:c>
      <x:c r="T23" s="4" t="s">
        <x:v>243</x:v>
      </x:c>
      <x:c r="U23" s="4" t="s">
        <x:v>244</x:v>
      </x:c>
      <x:c r="V23" s="4" t="s">
        <x:v>77</x:v>
      </x:c>
      <x:c r="W23" s="5"/>
      <x:c r="X23" s="5"/>
      <x:c r="Y23" s="5"/>
      <x:c r="Z23" s="5"/>
      <x:c r="AA23" s="5"/>
      <x:c r="AB23" s="6" t="str">
        <x:v>member2_liyun</x:v>
      </x:c>
      <x:c r="AC23" s="6" t="str">
        <x:v>NOT_ACCURATE</x:v>
      </x:c>
      <x:c r="AD23" s="6" t="str">
        <x:v>待定位</x:v>
      </x:c>
      <x:c r="AE23" s="6" t="str">
        <x:v>NCBI PMC OA BioC JSON; PMC6837311; section=ABSTRACT; passage_index=1, offset=80; exact raw/normalized evidence passage; URL=https://www.ncbi.nlm.nih.gov/research/bionlp/RESTful/pmcoa.cgi/PMC6837311/unicode</x:v>
      </x:c>
      <x:c r="AF23" s="6" t="str">
        <x:v>证据研究咖啡因对离心运动后神经肌肉功能、功率和冲刺表现的影响，未支持感知、功能和组织修复是不同恢复过程；当前定位需源文复核。</x:v>
      </x:c>
      <x:c r="AG23" s="6"/>
      <x:c r="AH23" s="6"/>
      <x:c r="AI23" s="6"/>
      <x:c r="AJ23" s="7" t="str">
        <x:f t="shared" si="0">IF(COUNTA(AB23:AF23)=5,"已填写","待填写")</x:f>
        <x:v>已填写</x:v>
      </x:c>
    </x:row>
    <x:row r="24" ht="409.5" customHeight="1">
      <x:c r="A24" s="4" t="s">
        <x:v>245</x:v>
      </x:c>
      <x:c r="B24" s="4" t="s">
        <x:v>59</x:v>
      </x:c>
      <x:c r="C24" s="4" t="s">
        <x:v>60</x:v>
      </x:c>
      <x:c r="D24" s="4" t="s">
        <x:v>246</x:v>
      </x:c>
      <x:c r="E24" s="4" t="s">
        <x:v>247</x:v>
      </x:c>
      <x:c r="F24" s="4" t="s">
        <x:v>248</x:v>
      </x:c>
      <x:c r="G24" s="4" t="s">
        <x:v>249</x:v>
      </x:c>
      <x:c r="H24" s="4">
        <x:v>6</x:v>
      </x:c>
      <x:c r="I24" s="4" t="s">
        <x:v>250</x:v>
      </x:c>
      <x:c r="J24" s="4" t="s">
        <x:v>251</x:v>
      </x:c>
      <x:c r="K24" s="4" t="s">
        <x:v>67</x:v>
      </x:c>
      <x:c r="L24" s="4" t="s">
        <x:v>252</x:v>
      </x:c>
      <x:c r="M24" s="4" t="s">
        <x:v>253</x:v>
      </x:c>
      <x:c r="N24" s="4" t="s">
        <x:v>254</x:v>
      </x:c>
      <x:c r="O24" s="4" t="s">
        <x:v>255</x:v>
      </x:c>
      <x:c r="P24" s="4">
        <x:v>1</x:v>
      </x:c>
      <x:c r="Q24" s="4" t="s">
        <x:v>256</x:v>
      </x:c>
      <x:c r="R24" s="4" t="s">
        <x:v>257</x:v>
      </x:c>
      <x:c r="S24" s="4" t="s">
        <x:v>67</x:v>
      </x:c>
      <x:c r="T24" s="4" t="s">
        <x:v>258</x:v>
      </x:c>
      <x:c r="U24" s="4" t="s">
        <x:v>259</x:v>
      </x:c>
      <x:c r="V24" s="4" t="s">
        <x:v>77</x:v>
      </x:c>
      <x:c r="W24" s="5"/>
      <x:c r="X24" s="5"/>
      <x:c r="Y24" s="5"/>
      <x:c r="Z24" s="5"/>
      <x:c r="AA24" s="5"/>
      <x:c r="AB24" s="6" t="str">
        <x:v>member2_liyun</x:v>
      </x:c>
      <x:c r="AC24" s="6" t="str">
        <x:v>IRRELEVANT</x:v>
      </x:c>
      <x:c r="AD24" s="6" t="str">
        <x:v>待定位</x:v>
      </x:c>
      <x:c r="AE24" s="6" t="str">
        <x:v>NCBI PMC OA BioC JSON; PMC11177495; section=ABSTRACT; passage_index=1, offset=85; exact raw/normalized evidence passage; URL=https://www.ncbi.nlm.nih.gov/research/bionlp/RESTful/pmcoa.cgi/PMC11177495/unicode</x:v>
      </x:c>
      <x:c r="AF24" s="6" t="str">
        <x:v>被引文献是ART精子选择技术综述，与0PN胚胎发育潜能及移植标准无关；当前定位需源文复核。</x:v>
      </x:c>
      <x:c r="AG24" s="6"/>
      <x:c r="AH24" s="6"/>
      <x:c r="AI24" s="6"/>
      <x:c r="AJ24" s="7" t="str">
        <x:f t="shared" si="0">IF(COUNTA(AB24:AF24)=5,"已填写","待填写")</x:f>
        <x:v>已填写</x:v>
      </x:c>
    </x:row>
  </x:sheetData>
  <x:mergeCells>
    <x:mergeCell ref="A1:AJ1"/>
    <x:mergeCell ref="A2:AJ2"/>
  </x:mergeCells>
  <x:conditionalFormatting sqref="X5:X24">
    <x:cfRule type="containsBlanks" dxfId="0" priority="1">
      <x:formula>LEN(TRIM(X5))=0</x:formula>
    </x:cfRule>
  </x:conditionalFormatting>
  <x:conditionalFormatting sqref="Y5:Y24">
    <x:cfRule type="containsBlanks" dxfId="0" priority="2">
      <x:formula>LEN(TRIM(Y5))=0</x:formula>
    </x:cfRule>
  </x:conditionalFormatting>
  <x:conditionalFormatting sqref="AJ5:AJ24">
    <x:cfRule type="containsText" dxfId="1" priority="3" operator="between" text="待填写">
      <x:formula>NOT(ISERROR(SEARCH("待填写",AJ5)))</x:formula>
    </x:cfRule>
    <x:cfRule type="containsText" dxfId="2" priority="4" operator="between" text="已填写">
      <x:formula>NOT(ISERROR(SEARCH("已填写",AJ5)))</x:formula>
    </x:cfRule>
  </x:conditionalFormatting>
  <x:dataValidations count="2">
    <x:dataValidation type="list" sqref="X5:X24 AC5:AC24">
      <x:formula1>"ACCURATE,NOT_ACCURATE,IRRELEVANT"</x:formula1>
    </x:dataValidation>
    <x:dataValidation type="list" sqref="Y5:Y24 AD5:AD24">
      <x:formula1>"已定位,待定位,源文缺失,不适用"</x:formula1>
    </x:dataValidation>
  </x:dataValidations>
  <x:pageMargins left="0.7" right="0.7" top="0.75" bottom="0.75" header="0.3" footer="0.3"/>
  <x:tableParts count="1">
    <x:tablePart xmlns:r="http://schemas.openxmlformats.org/officeDocument/2006/relationships" r:id="Ra442651216c542db"/>
  </x:tableParts>
</x:worksheet>
</file>